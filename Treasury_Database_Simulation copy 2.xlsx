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/Desktop/"/>
    </mc:Choice>
  </mc:AlternateContent>
  <xr:revisionPtr revIDLastSave="0" documentId="13_ncr:1_{91E25666-E1D6-0D4F-B51D-131F1D356D48}" xr6:coauthVersionLast="47" xr6:coauthVersionMax="47" xr10:uidLastSave="{00000000-0000-0000-0000-000000000000}"/>
  <bookViews>
    <workbookView xWindow="0" yWindow="500" windowWidth="28800" windowHeight="16860" activeTab="5" xr2:uid="{00000000-000D-0000-FFFF-FFFF00000000}"/>
  </bookViews>
  <sheets>
    <sheet name="README" sheetId="7" r:id="rId1"/>
    <sheet name="Transactions_Cashflows" sheetId="1" r:id="rId2"/>
    <sheet name="Balance_Components" sheetId="2" r:id="rId3"/>
    <sheet name="Scenarios_Forecast" sheetId="4" r:id="rId4"/>
    <sheet name="Controls" sheetId="8" r:id="rId5"/>
    <sheet name="Forecasts" sheetId="9" r:id="rId6"/>
  </sheets>
  <definedNames>
    <definedName name="SelScenario">Controls!$C$4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9" l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14" i="9"/>
  <c r="B25" i="9"/>
  <c r="B24" i="9"/>
  <c r="B23" i="9"/>
  <c r="B22" i="9"/>
  <c r="B21" i="9"/>
  <c r="B20" i="9"/>
  <c r="B19" i="9"/>
  <c r="B18" i="9"/>
  <c r="B17" i="9"/>
  <c r="B16" i="9"/>
  <c r="B15" i="9"/>
  <c r="B14" i="9"/>
  <c r="G13" i="9"/>
  <c r="G14" i="1"/>
  <c r="H14" i="9"/>
  <c r="M13" i="9"/>
  <c r="L13" i="9"/>
  <c r="O13" i="9"/>
  <c r="M2" i="9"/>
  <c r="M3" i="9"/>
  <c r="M4" i="9"/>
  <c r="M5" i="9"/>
  <c r="M6" i="9"/>
  <c r="M7" i="9"/>
  <c r="M8" i="9"/>
  <c r="M9" i="9"/>
  <c r="M10" i="9"/>
  <c r="M11" i="9"/>
  <c r="M12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O2" i="9"/>
  <c r="N2" i="9" s="1"/>
  <c r="O3" i="9"/>
  <c r="N3" i="9" s="1"/>
  <c r="O4" i="9"/>
  <c r="N4" i="9" s="1"/>
  <c r="O5" i="9"/>
  <c r="N5" i="9" s="1"/>
  <c r="O6" i="9"/>
  <c r="N6" i="9" s="1"/>
  <c r="O7" i="9"/>
  <c r="N7" i="9" s="1"/>
  <c r="O8" i="9"/>
  <c r="N8" i="9" s="1"/>
  <c r="O9" i="9"/>
  <c r="N9" i="9" s="1"/>
  <c r="O10" i="9"/>
  <c r="N10" i="9" s="1"/>
  <c r="O11" i="9"/>
  <c r="N11" i="9" s="1"/>
  <c r="O12" i="9"/>
  <c r="N12" i="9" s="1"/>
  <c r="L4" i="9"/>
  <c r="L2" i="9"/>
  <c r="L3" i="9"/>
  <c r="L5" i="9"/>
  <c r="L6" i="9"/>
  <c r="L7" i="9"/>
  <c r="L8" i="9"/>
  <c r="L9" i="9"/>
  <c r="L10" i="9"/>
  <c r="L11" i="9"/>
  <c r="L12" i="9"/>
  <c r="J2" i="9"/>
  <c r="K2" i="9" s="1"/>
  <c r="J3" i="9"/>
  <c r="K3" i="9" s="1"/>
  <c r="J4" i="9"/>
  <c r="K4" i="9" s="1"/>
  <c r="J5" i="9"/>
  <c r="K5" i="9" s="1"/>
  <c r="J6" i="9"/>
  <c r="K6" i="9" s="1"/>
  <c r="J7" i="9"/>
  <c r="K7" i="9" s="1"/>
  <c r="J8" i="9"/>
  <c r="J9" i="9"/>
  <c r="K9" i="9" s="1"/>
  <c r="J10" i="9"/>
  <c r="K10" i="9" s="1"/>
  <c r="J11" i="9"/>
  <c r="K11" i="9" s="1"/>
  <c r="J12" i="9"/>
  <c r="K12" i="9" s="1"/>
  <c r="J13" i="9"/>
  <c r="K13" i="9" s="1"/>
  <c r="G2" i="9"/>
  <c r="G3" i="9"/>
  <c r="G4" i="9"/>
  <c r="G5" i="9"/>
  <c r="G6" i="9"/>
  <c r="G7" i="9"/>
  <c r="G8" i="9"/>
  <c r="G9" i="9"/>
  <c r="G10" i="9"/>
  <c r="G11" i="9"/>
  <c r="G12" i="9"/>
  <c r="C9" i="8"/>
  <c r="D15" i="9" s="1"/>
  <c r="C8" i="8"/>
  <c r="C7" i="8"/>
  <c r="C6" i="8"/>
  <c r="P2" i="2"/>
  <c r="P3" i="2"/>
  <c r="P4" i="2"/>
  <c r="P5" i="2"/>
  <c r="P6" i="2"/>
  <c r="P7" i="2"/>
  <c r="P8" i="2"/>
  <c r="P9" i="2"/>
  <c r="O2" i="2"/>
  <c r="O3" i="2"/>
  <c r="O4" i="2"/>
  <c r="O5" i="2"/>
  <c r="O6" i="2"/>
  <c r="O7" i="2"/>
  <c r="O8" i="2"/>
  <c r="O9" i="2"/>
  <c r="N2" i="2"/>
  <c r="N3" i="2"/>
  <c r="N4" i="2"/>
  <c r="N5" i="2"/>
  <c r="N6" i="2"/>
  <c r="N7" i="2"/>
  <c r="N8" i="2"/>
  <c r="N9" i="2"/>
  <c r="M2" i="2"/>
  <c r="M3" i="2"/>
  <c r="M4" i="2"/>
  <c r="M5" i="2"/>
  <c r="M6" i="2"/>
  <c r="M7" i="2"/>
  <c r="M8" i="2"/>
  <c r="M9" i="2"/>
  <c r="L2" i="2"/>
  <c r="L3" i="2"/>
  <c r="L4" i="2"/>
  <c r="L5" i="2"/>
  <c r="L6" i="2"/>
  <c r="L7" i="2"/>
  <c r="L8" i="2"/>
  <c r="L9" i="2"/>
  <c r="K2" i="2"/>
  <c r="K3" i="2"/>
  <c r="K4" i="2"/>
  <c r="K5" i="2"/>
  <c r="K6" i="2"/>
  <c r="K7" i="2"/>
  <c r="K8" i="2"/>
  <c r="K9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D14" i="9" l="1"/>
  <c r="D20" i="9"/>
  <c r="N13" i="9"/>
  <c r="K8" i="9"/>
  <c r="D22" i="9"/>
  <c r="D21" i="9"/>
  <c r="D19" i="9"/>
  <c r="D18" i="9"/>
  <c r="D25" i="9"/>
  <c r="D17" i="9"/>
  <c r="D24" i="9"/>
  <c r="D16" i="9"/>
  <c r="D23" i="9"/>
  <c r="J14" i="9" l="1"/>
  <c r="G14" i="9"/>
  <c r="I14" i="9" s="1"/>
  <c r="H15" i="9" s="1"/>
  <c r="G15" i="9"/>
  <c r="O15" i="9"/>
  <c r="M15" i="9" s="1"/>
  <c r="O14" i="9"/>
  <c r="J15" i="9"/>
  <c r="K15" i="9" l="1"/>
  <c r="K14" i="9"/>
  <c r="N15" i="9"/>
  <c r="I15" i="9"/>
  <c r="H16" i="9" s="1"/>
  <c r="L14" i="9"/>
  <c r="N14" i="9"/>
  <c r="M14" i="9"/>
  <c r="J16" i="9"/>
  <c r="O16" i="9"/>
  <c r="G16" i="9"/>
  <c r="L15" i="9" l="1"/>
  <c r="N16" i="9"/>
  <c r="M16" i="9"/>
  <c r="I16" i="9"/>
  <c r="H17" i="9" s="1"/>
  <c r="K16" i="9"/>
  <c r="L16" i="9" l="1"/>
  <c r="O18" i="9"/>
  <c r="G18" i="9"/>
  <c r="J18" i="9"/>
  <c r="O17" i="9"/>
  <c r="G17" i="9"/>
  <c r="I17" i="9" s="1"/>
  <c r="H18" i="9" s="1"/>
  <c r="J17" i="9"/>
  <c r="K18" i="9" l="1"/>
  <c r="K17" i="9"/>
  <c r="N17" i="9"/>
  <c r="M17" i="9"/>
  <c r="N18" i="9"/>
  <c r="M18" i="9"/>
  <c r="L17" i="9"/>
  <c r="I18" i="9"/>
  <c r="H19" i="9" s="1"/>
  <c r="O19" i="9"/>
  <c r="J19" i="9"/>
  <c r="G19" i="9"/>
  <c r="K19" i="9" l="1"/>
  <c r="N19" i="9"/>
  <c r="M19" i="9"/>
  <c r="I19" i="9"/>
  <c r="H20" i="9" s="1"/>
  <c r="L18" i="9"/>
  <c r="O20" i="9"/>
  <c r="J20" i="9"/>
  <c r="G20" i="9"/>
  <c r="L19" i="9" l="1"/>
  <c r="K20" i="9"/>
  <c r="N20" i="9"/>
  <c r="M20" i="9"/>
  <c r="I20" i="9"/>
  <c r="H21" i="9" s="1"/>
  <c r="J21" i="9"/>
  <c r="O21" i="9"/>
  <c r="G21" i="9"/>
  <c r="I21" i="9" l="1"/>
  <c r="H22" i="9" s="1"/>
  <c r="N21" i="9"/>
  <c r="M21" i="9"/>
  <c r="L20" i="9"/>
  <c r="O22" i="9"/>
  <c r="G22" i="9"/>
  <c r="J22" i="9"/>
  <c r="K21" i="9"/>
  <c r="L21" i="9" l="1"/>
  <c r="K22" i="9"/>
  <c r="N22" i="9"/>
  <c r="M22" i="9"/>
  <c r="I22" i="9"/>
  <c r="H23" i="9" s="1"/>
  <c r="O23" i="9"/>
  <c r="G23" i="9"/>
  <c r="J23" i="9"/>
  <c r="K23" i="9" l="1"/>
  <c r="I23" i="9"/>
  <c r="H24" i="9" s="1"/>
  <c r="L22" i="9"/>
  <c r="N23" i="9"/>
  <c r="M23" i="9"/>
  <c r="G24" i="9"/>
  <c r="O24" i="9"/>
  <c r="J24" i="9"/>
  <c r="L23" i="9" l="1"/>
  <c r="N24" i="9"/>
  <c r="M24" i="9"/>
  <c r="I24" i="9"/>
  <c r="H25" i="9" s="1"/>
  <c r="K24" i="9"/>
  <c r="J25" i="9"/>
  <c r="G25" i="9"/>
  <c r="O25" i="9"/>
  <c r="N25" i="9" l="1"/>
  <c r="M25" i="9"/>
  <c r="L24" i="9"/>
  <c r="I25" i="9"/>
  <c r="L25" i="9" s="1"/>
  <c r="K25" i="9"/>
</calcChain>
</file>

<file path=xl/sharedStrings.xml><?xml version="1.0" encoding="utf-8"?>
<sst xmlns="http://schemas.openxmlformats.org/spreadsheetml/2006/main" count="59" uniqueCount="47">
  <si>
    <t>Period</t>
  </si>
  <si>
    <t>Operating_Inflows</t>
  </si>
  <si>
    <t>Operating_Outflows</t>
  </si>
  <si>
    <t>Investing_Outflows</t>
  </si>
  <si>
    <t>Financing_Inflows</t>
  </si>
  <si>
    <t>Financing_Outflows</t>
  </si>
  <si>
    <t>Net_Cash_Flow</t>
  </si>
  <si>
    <t>Opening_Cash</t>
  </si>
  <si>
    <t>Closing_Cash</t>
  </si>
  <si>
    <t>Accounts_Receivable</t>
  </si>
  <si>
    <t>Accounts_Payable</t>
  </si>
  <si>
    <t>Inventory</t>
  </si>
  <si>
    <t>Cash</t>
  </si>
  <si>
    <t>Short_Term_Debt</t>
  </si>
  <si>
    <t>Current_Assets</t>
  </si>
  <si>
    <t>Current_Liabilities</t>
  </si>
  <si>
    <t>Scenario</t>
  </si>
  <si>
    <t>Revenue_Growth_%</t>
  </si>
  <si>
    <t>COGS_Growth_%</t>
  </si>
  <si>
    <t>Interest_Rate_%</t>
  </si>
  <si>
    <t>CapEx_€M</t>
  </si>
  <si>
    <t>Base</t>
  </si>
  <si>
    <t>Optimistic</t>
  </si>
  <si>
    <t>Pessimistic</t>
  </si>
  <si>
    <t>Net_cash_Flow2</t>
  </si>
  <si>
    <t>Free_Cash_Flow</t>
  </si>
  <si>
    <t>Cash_Buffer_Months</t>
  </si>
  <si>
    <t>Liquidity_Ratio</t>
  </si>
  <si>
    <t>DSO_days</t>
  </si>
  <si>
    <t>DPO_days</t>
  </si>
  <si>
    <t>DIO_days</t>
  </si>
  <si>
    <t>CCC_days</t>
  </si>
  <si>
    <t>Revenue_TTM</t>
  </si>
  <si>
    <t>COGS_TTM</t>
  </si>
  <si>
    <t xml:space="preserve">Quick Ratio </t>
  </si>
  <si>
    <t xml:space="preserve">Active scenario </t>
  </si>
  <si>
    <t>forecast_net</t>
  </si>
  <si>
    <t>forecast_opening</t>
  </si>
  <si>
    <t>forecast_closing</t>
  </si>
  <si>
    <t>FCF</t>
  </si>
  <si>
    <t>CC_Ratio</t>
  </si>
  <si>
    <t>Liquidity Buffer</t>
  </si>
  <si>
    <t>operating_Margin %</t>
  </si>
  <si>
    <t>Interest_Coverage</t>
  </si>
  <si>
    <t xml:space="preserve">FX_Shock_% </t>
  </si>
  <si>
    <t>EBITDA/EBIT_PROXY</t>
  </si>
  <si>
    <t>INTEREST 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</si>
</sst>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  <xf numFmtId="3" fontId="0" fillId="0" borderId="0" xfId="0" applyNumberFormat="1"/>
    <xf numFmtId="0" fontId="3" fillId="2" borderId="2" xfId="0" applyFont="1" applyFill="1" applyBorder="1" applyAlignment="1">
      <alignment horizontal="center" vertical="top"/>
    </xf>
    <xf numFmtId="164" fontId="0" fillId="3" borderId="3" xfId="0" applyNumberFormat="1" applyFill="1" applyBorder="1"/>
    <xf numFmtId="164" fontId="0" fillId="4" borderId="3" xfId="0" applyNumberFormat="1" applyFill="1" applyBorder="1"/>
    <xf numFmtId="164" fontId="0" fillId="4" borderId="5" xfId="0" applyNumberFormat="1" applyFill="1" applyBorder="1"/>
    <xf numFmtId="2" fontId="0" fillId="0" borderId="0" xfId="0" applyNumberFormat="1"/>
    <xf numFmtId="0" fontId="3" fillId="2" borderId="7" xfId="0" applyFont="1" applyFill="1" applyBorder="1" applyAlignment="1">
      <alignment horizontal="center" vertical="top"/>
    </xf>
    <xf numFmtId="2" fontId="0" fillId="4" borderId="6" xfId="0" applyNumberForma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3" borderId="4" xfId="0" applyNumberFormat="1" applyFill="1" applyBorder="1"/>
    <xf numFmtId="2" fontId="0" fillId="0" borderId="0" xfId="1" applyNumberFormat="1" applyFont="1"/>
    <xf numFmtId="2" fontId="0" fillId="4" borderId="4" xfId="0" applyNumberFormat="1" applyFill="1" applyBorder="1"/>
  </cellXfs>
  <cellStyles count="2">
    <cellStyle name="Normal" xfId="0" builtinId="0"/>
    <cellStyle name="Percent" xfId="1" builtinId="5"/>
  </cellStyles>
  <dxfs count="3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\ hh:mm:ss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C0F969-FB3A-A541-8CDD-CA694EEC5E4F}" name="TblCash" displayName="TblCash" ref="A1:L25" totalsRowShown="0" headerRowDxfId="38" headerRowBorderDxfId="37" tableBorderDxfId="36">
  <autoFilter ref="A1:L25" xr:uid="{DDC0F969-FB3A-A541-8CDD-CA694EEC5E4F}"/>
  <tableColumns count="12">
    <tableColumn id="1" xr3:uid="{9E5DF0AF-3EDE-ED4F-8B45-D20E9132987E}" name="Period" dataDxfId="35"/>
    <tableColumn id="2" xr3:uid="{551D69FD-6989-B449-8136-658BD8D49F10}" name="Operating_Inflows"/>
    <tableColumn id="3" xr3:uid="{E9125638-9389-6448-9D71-D455747522B3}" name="Operating_Outflows"/>
    <tableColumn id="4" xr3:uid="{90116FCD-76B3-754A-9B40-FAEB93EA5BA5}" name="Investing_Outflows"/>
    <tableColumn id="5" xr3:uid="{88884D33-17D6-0142-9E92-59B41F3F3C78}" name="Financing_Inflows"/>
    <tableColumn id="6" xr3:uid="{2A969822-7CD4-3A40-8BBF-42BD867F5294}" name="Financing_Outflows"/>
    <tableColumn id="7" xr3:uid="{62A6384B-6E87-934C-8A96-ACD9C67FA15B}" name="Net_Cash_Flow"/>
    <tableColumn id="8" xr3:uid="{717AF54A-24DC-FE43-9FC6-69C88DD7E92B}" name="Opening_Cash"/>
    <tableColumn id="9" xr3:uid="{2CF8E321-1F09-304E-B230-3AA69BA9A39A}" name="Closing_Cash"/>
    <tableColumn id="10" xr3:uid="{6F60695B-9433-F743-8511-0E6A42CD1A60}" name="Net_cash_Flow2" dataDxfId="34">
      <calculatedColumnFormula>TblCash[[#This Row],[Operating_Inflows]]-TblCash[[#This Row],[Operating_Outflows]]-TblCash[[#This Row],[Investing_Outflows]]+TblCash[[#This Row],[Financing_Inflows]]-TblCash[[#This Row],[Financing_Outflows]]</calculatedColumnFormula>
    </tableColumn>
    <tableColumn id="11" xr3:uid="{CB1CCE06-7CA0-D943-9468-FD28EB204B21}" name="Free_Cash_Flow" dataDxfId="33">
      <calculatedColumnFormula>TblCash[[#This Row],[Operating_Inflows]]-TblCash[[#This Row],[Operating_Outflows]]-TblCash[[#This Row],[Investing_Outflows]]</calculatedColumnFormula>
    </tableColumn>
    <tableColumn id="12" xr3:uid="{98FD35E2-E981-3C4A-B99D-773C4F506485}" name="Cash_Buffer_Months" dataDxfId="32">
      <calculatedColumnFormula>TblCash[[#This Row],[Closing_Cash]]/TblCash[[#This Row],[Operating_Outflows]]+TblCash[[#This Row],[Financing_Outflows]]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EFAF66-25B2-054D-BED0-BC40089F1AA6}" name="TblForecast" displayName="TblForecast" ref="A1:P9" totalsRowShown="0" headerRowDxfId="31" headerRowBorderDxfId="30" tableBorderDxfId="29">
  <autoFilter ref="A1:P9" xr:uid="{A3EFAF66-25B2-054D-BED0-BC40089F1AA6}"/>
  <tableColumns count="16">
    <tableColumn id="1" xr3:uid="{EF104A48-C3C6-174D-8904-6F7A1E410A4F}" name="Period" dataDxfId="28"/>
    <tableColumn id="2" xr3:uid="{FDF1C95A-4010-3941-946C-5AB7E79C8C3D}" name="Accounts_Receivable"/>
    <tableColumn id="3" xr3:uid="{06C1E4C0-2885-B141-B7F7-F385A65A20EE}" name="Accounts_Payable"/>
    <tableColumn id="4" xr3:uid="{BA5BF49C-3026-F046-A5BE-5FF151048461}" name="Inventory"/>
    <tableColumn id="5" xr3:uid="{8EA98EED-AD5D-0546-9BD2-770AD313AC86}" name="Cash"/>
    <tableColumn id="6" xr3:uid="{36CE22F4-AF68-DF43-A1DE-3D2F37BD95EA}" name="Short_Term_Debt"/>
    <tableColumn id="7" xr3:uid="{70F65EDC-5239-0A4C-9B06-B342712D38A9}" name="Current_Assets"/>
    <tableColumn id="8" xr3:uid="{B215AC69-4A40-F245-A25D-EB697C0DB988}" name="Current_Liabilities"/>
    <tableColumn id="9" xr3:uid="{686C2749-A08E-884A-8D80-98FF1FE20AC1}" name="Revenue_TTM" dataDxfId="27"/>
    <tableColumn id="10" xr3:uid="{BB059F9E-5EC2-084D-9CCB-B89E8207AFA2}" name="COGS_TTM" dataDxfId="26"/>
    <tableColumn id="11" xr3:uid="{29FD4150-6A89-F047-8A7B-93EAFFA5A323}" name="Liquidity_Ratio" dataDxfId="25">
      <calculatedColumnFormula>ROUND(TblForecast[[#This Row],[Current_Assets]]/TblForecast[[#This Row],[Current_Liabilities]],2)</calculatedColumnFormula>
    </tableColumn>
    <tableColumn id="12" xr3:uid="{00882812-09B8-444C-9894-CCDA50E7DDF5}" name="Quick Ratio " dataDxfId="24">
      <calculatedColumnFormula>ROUND((TblForecast[[#This Row],[Cash]]+TblForecast[[#This Row],[Accounts_Receivable]])/TblForecast[[#This Row],[Current_Liabilities]],2)</calculatedColumnFormula>
    </tableColumn>
    <tableColumn id="13" xr3:uid="{163D4F8A-0EBC-4C48-80E3-2E35BC249096}" name="DSO_days" dataDxfId="23">
      <calculatedColumnFormula>ROUND(TblForecast[[#This Row],[Accounts_Receivable]]/TblForecast[[#This Row],[Revenue_TTM]]*365,1)</calculatedColumnFormula>
    </tableColumn>
    <tableColumn id="14" xr3:uid="{DC7AB8E6-0572-E648-AFBD-14D742FB7E16}" name="DPO_days" dataDxfId="22">
      <calculatedColumnFormula>ROUND(TblForecast[[#This Row],[Accounts_Payable]]/TblForecast[[#This Row],[COGS_TTM]]*365,1)</calculatedColumnFormula>
    </tableColumn>
    <tableColumn id="15" xr3:uid="{70DDD482-21F2-3440-A516-0FDE658F2127}" name="DIO_days" dataDxfId="21">
      <calculatedColumnFormula>ROUND(TblForecast[[#This Row],[Inventory]]/TblForecast[[#This Row],[COGS_TTM]]*365,1)</calculatedColumnFormula>
    </tableColumn>
    <tableColumn id="16" xr3:uid="{9474D32D-3270-9141-B3C8-47DC3C2EEFCB}" name="CCC_days" dataDxfId="20">
      <calculatedColumnFormula>ROUND(TblForecast[[#This Row],[DSO_days]]+TblForecast[[#This Row],[DIO_days]]-TblForecast[[#This Row],[DPO_days]],1)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0F7AA1-414F-504F-98E1-7A9ADCE2C4DB}" name="TblScenarios" displayName="TblScenarios" ref="A1:E4" totalsRowShown="0" headerRowDxfId="19" headerRowBorderDxfId="18" tableBorderDxfId="17">
  <autoFilter ref="A1:E4" xr:uid="{310F7AA1-414F-504F-98E1-7A9ADCE2C4DB}"/>
  <tableColumns count="5">
    <tableColumn id="1" xr3:uid="{B9007C49-5E58-8344-9AAE-99693F4C1EBF}" name="Scenario"/>
    <tableColumn id="2" xr3:uid="{F86EC180-622F-9E4E-8FA6-B7B8FC512A33}" name="Revenue_Growth_%"/>
    <tableColumn id="3" xr3:uid="{AF5911B7-8B02-1D4D-BF44-B846F7F9E62C}" name="COGS_Growth_%"/>
    <tableColumn id="4" xr3:uid="{74AF0671-758D-0442-9776-0A247CF7645A}" name="Interest_Rate_%"/>
    <tableColumn id="5" xr3:uid="{A17F04C3-2851-F344-9E19-8D43A062EDA3}" name="CapEx_€M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85CFF7-4586-354D-9FD5-F4FF9AB454BA}" name="Table7" displayName="Table7" ref="A1:P25" totalsRowShown="0" headerRowDxfId="16">
  <autoFilter ref="A1:P25" xr:uid="{AE85CFF7-4586-354D-9FD5-F4FF9AB454BA}"/>
  <tableColumns count="16">
    <tableColumn id="1" xr3:uid="{0196E7F7-A558-354A-BE7D-4197401EAB63}" name="Period" dataDxfId="15"/>
    <tableColumn id="2" xr3:uid="{B29FEDBE-7910-CD4F-9F7B-D3030C0247AC}" name="Operating_Inflows" dataDxfId="14">
      <calculatedColumnFormula>B1*(1+Controls!$C$6/100)</calculatedColumnFormula>
    </tableColumn>
    <tableColumn id="3" xr3:uid="{2E02CD27-ECEE-5046-AC3E-6172AE4F227A}" name="Operating_Outflows" dataDxfId="13">
      <calculatedColumnFormula>C1*(1+Controls!$C$7/100)</calculatedColumnFormula>
    </tableColumn>
    <tableColumn id="4" xr3:uid="{D9CBAD2E-BA17-374C-B3A1-F6A76F3DABF1}" name="Investing_Outflows" dataDxfId="12">
      <calculatedColumnFormula>Controls!$C$9/12</calculatedColumnFormula>
    </tableColumn>
    <tableColumn id="5" xr3:uid="{31C92C0B-00F3-554A-8303-2700DB69FD93}" name="Financing_Inflows" dataDxfId="11"/>
    <tableColumn id="6" xr3:uid="{8D5EE6D9-CAF8-E64D-AB14-0A2BCE7776C7}" name="Financing_Outflows" dataDxfId="10"/>
    <tableColumn id="7" xr3:uid="{34649944-776D-454F-B14E-17B91681699B}" name="forecast_net" dataDxfId="9">
      <calculatedColumnFormula>Table7[[#This Row],[Operating_Inflows]]-Table7[[#This Row],[Operating_Outflows]]-Table7[[#This Row],[Investing_Outflows]]+Table7[[#This Row],[Financing_Inflows]]-Table7[[#This Row],[Financing_Outflows]]</calculatedColumnFormula>
    </tableColumn>
    <tableColumn id="8" xr3:uid="{3041A937-0889-7943-B6E7-288364155F8A}" name="forecast_opening" dataDxfId="8"/>
    <tableColumn id="9" xr3:uid="{548A7B30-DB3B-5C4D-B9D0-4E20E0FD40D7}" name="forecast_closing" dataDxfId="7"/>
    <tableColumn id="11" xr3:uid="{394768FF-27FF-2E48-8DC4-30E0B0C75D35}" name="FCF" dataDxfId="6">
      <calculatedColumnFormula>Table7[[#This Row],[Operating_Inflows]]-Table7[[#This Row],[Operating_Outflows]]-Table7[[#This Row],[Investing_Outflows]]</calculatedColumnFormula>
    </tableColumn>
    <tableColumn id="12" xr3:uid="{DCDA31C2-D646-7840-9CA4-D48E3F9A46E7}" name="CC_Ratio" dataDxfId="5">
      <calculatedColumnFormula>Table7[[#This Row],[FCF]]/Table7[[#This Row],[EBITDA/EBIT_PROXY]]</calculatedColumnFormula>
    </tableColumn>
    <tableColumn id="13" xr3:uid="{9C55361E-DDE4-E044-9FA7-79A26FB314CD}" name="Liquidity Buffer" dataDxfId="4">
      <calculatedColumnFormula>Table7[[#This Row],[forecast_closing]]/(Table7[[#This Row],[Operating_Outflows]]/12)</calculatedColumnFormula>
    </tableColumn>
    <tableColumn id="14" xr3:uid="{75E19CB9-FDBD-FE40-A3A5-C132BC39A53D}" name="Interest_Coverage" dataDxfId="3">
      <calculatedColumnFormula>Table7[[#This Row],[EBITDA/EBIT_PROXY]]/Table7[[#This Row],[INTEREST PROXY]]</calculatedColumnFormula>
    </tableColumn>
    <tableColumn id="15" xr3:uid="{36EBAB7E-E318-454D-BE8B-9AAE9C41C01C}" name="operating_Margin %" dataDxfId="2" dataCellStyle="Percent">
      <calculatedColumnFormula>Table7[[#This Row],[EBITDA/EBIT_PROXY]]/Table7[[#This Row],[Operating_Inflows]]</calculatedColumnFormula>
    </tableColumn>
    <tableColumn id="16" xr3:uid="{F6456A8D-5911-C64F-B900-C37034EAC1BB}" name="EBITDA/EBIT_PROXY" dataDxfId="1">
      <calculatedColumnFormula>Table7[[#This Row],[Operating_Inflows]]-Table7[[#This Row],[Operating_Outflows]]</calculatedColumnFormula>
    </tableColumn>
    <tableColumn id="10" xr3:uid="{E2E6DCD8-A523-B944-89FC-696244878289}" name="INTEREST PROXY" dataDxfId="0">
      <calculatedColumnFormula>0.4*Table7[[#This Row],[Financing_Outflows]]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F3CB-F317-AB47-95EF-CF6211EAC579}">
  <dimension ref="A1"/>
  <sheetViews>
    <sheetView zoomScale="107" workbookViewId="0"/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="61" zoomScaleNormal="108" workbookViewId="0">
      <selection activeCell="H25" sqref="H25"/>
    </sheetView>
  </sheetViews>
  <sheetFormatPr baseColWidth="10" defaultColWidth="8.83203125" defaultRowHeight="15" x14ac:dyDescent="0.2"/>
  <cols>
    <col min="1" max="1" width="24.33203125" customWidth="1"/>
    <col min="2" max="2" width="23.33203125" customWidth="1"/>
    <col min="3" max="3" width="20" customWidth="1"/>
    <col min="4" max="4" width="19.33203125" customWidth="1"/>
    <col min="5" max="5" width="24" customWidth="1"/>
    <col min="6" max="6" width="19.6640625" customWidth="1"/>
    <col min="7" max="7" width="23.6640625" customWidth="1"/>
    <col min="8" max="8" width="27.5" customWidth="1"/>
    <col min="9" max="9" width="17.83203125" customWidth="1"/>
    <col min="10" max="10" width="33.83203125" customWidth="1"/>
    <col min="11" max="11" width="24.33203125" customWidth="1"/>
    <col min="12" max="12" width="24.6640625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24</v>
      </c>
      <c r="K1" s="2" t="s">
        <v>25</v>
      </c>
      <c r="L1" s="2" t="s">
        <v>26</v>
      </c>
    </row>
    <row r="2" spans="1:12" x14ac:dyDescent="0.2">
      <c r="A2" s="1">
        <v>45292</v>
      </c>
      <c r="B2">
        <v>939.7</v>
      </c>
      <c r="C2">
        <v>711.9</v>
      </c>
      <c r="D2">
        <v>267.2</v>
      </c>
      <c r="E2">
        <v>98.9</v>
      </c>
      <c r="F2">
        <v>127.4</v>
      </c>
      <c r="G2">
        <v>-67.900000000000006</v>
      </c>
      <c r="H2">
        <v>3500</v>
      </c>
      <c r="I2">
        <v>3432.1</v>
      </c>
      <c r="J2">
        <f>TblCash[[#This Row],[Operating_Inflows]]-TblCash[[#This Row],[Operating_Outflows]]-TblCash[[#This Row],[Investing_Outflows]]+TblCash[[#This Row],[Financing_Inflows]]-TblCash[[#This Row],[Financing_Outflows]]</f>
        <v>-67.89999999999992</v>
      </c>
      <c r="K2">
        <f>TblCash[[#This Row],[Operating_Inflows]]-TblCash[[#This Row],[Operating_Outflows]]-TblCash[[#This Row],[Investing_Outflows]]</f>
        <v>-39.39999999999992</v>
      </c>
      <c r="L2">
        <f>TblCash[[#This Row],[Closing_Cash]]/TblCash[[#This Row],[Operating_Outflows]]+TblCash[[#This Row],[Financing_Outflows]]</f>
        <v>132.22104228121927</v>
      </c>
    </row>
    <row r="3" spans="1:12" x14ac:dyDescent="0.2">
      <c r="A3" s="1">
        <v>45323</v>
      </c>
      <c r="B3">
        <v>888.9</v>
      </c>
      <c r="C3">
        <v>757.8</v>
      </c>
      <c r="D3">
        <v>161.80000000000001</v>
      </c>
      <c r="E3">
        <v>146.9</v>
      </c>
      <c r="F3">
        <v>126.5</v>
      </c>
      <c r="G3">
        <v>-10.3</v>
      </c>
      <c r="H3">
        <v>3432.1</v>
      </c>
      <c r="I3">
        <v>3421.8</v>
      </c>
      <c r="J3">
        <f>TblCash[[#This Row],[Operating_Inflows]]-TblCash[[#This Row],[Operating_Outflows]]-TblCash[[#This Row],[Investing_Outflows]]+TblCash[[#This Row],[Financing_Inflows]]-TblCash[[#This Row],[Financing_Outflows]]</f>
        <v>-10.299999999999983</v>
      </c>
      <c r="K3">
        <f>TblCash[[#This Row],[Operating_Inflows]]-TblCash[[#This Row],[Operating_Outflows]]-TblCash[[#This Row],[Investing_Outflows]]</f>
        <v>-30.699999999999989</v>
      </c>
      <c r="L3">
        <f>TblCash[[#This Row],[Closing_Cash]]/TblCash[[#This Row],[Operating_Outflows]]+TblCash[[#This Row],[Financing_Outflows]]</f>
        <v>131.01543942992873</v>
      </c>
    </row>
    <row r="4" spans="1:12" x14ac:dyDescent="0.2">
      <c r="A4" s="1">
        <v>45352</v>
      </c>
      <c r="B4">
        <v>951.8</v>
      </c>
      <c r="C4">
        <v>669.4</v>
      </c>
      <c r="D4">
        <v>266.2</v>
      </c>
      <c r="E4">
        <v>21.4</v>
      </c>
      <c r="F4">
        <v>120.1</v>
      </c>
      <c r="G4">
        <v>-82.5</v>
      </c>
      <c r="H4">
        <v>3421.8</v>
      </c>
      <c r="I4">
        <v>3339.3</v>
      </c>
      <c r="J4">
        <f>TblCash[[#This Row],[Operating_Inflows]]-TblCash[[#This Row],[Operating_Outflows]]-TblCash[[#This Row],[Investing_Outflows]]+TblCash[[#This Row],[Financing_Inflows]]-TblCash[[#This Row],[Financing_Outflows]]</f>
        <v>-82.5</v>
      </c>
      <c r="K4">
        <f>TblCash[[#This Row],[Operating_Inflows]]-TblCash[[#This Row],[Operating_Outflows]]-TblCash[[#This Row],[Investing_Outflows]]</f>
        <v>16.199999999999989</v>
      </c>
      <c r="L4">
        <f>TblCash[[#This Row],[Closing_Cash]]/TblCash[[#This Row],[Operating_Outflows]]+TblCash[[#This Row],[Financing_Outflows]]</f>
        <v>125.08849716163728</v>
      </c>
    </row>
    <row r="5" spans="1:12" x14ac:dyDescent="0.2">
      <c r="A5" s="1">
        <v>45383</v>
      </c>
      <c r="B5">
        <v>1021.8</v>
      </c>
      <c r="C5">
        <v>776.3</v>
      </c>
      <c r="D5">
        <v>230.7</v>
      </c>
      <c r="E5">
        <v>124.7</v>
      </c>
      <c r="F5">
        <v>114.1</v>
      </c>
      <c r="G5">
        <v>25.4</v>
      </c>
      <c r="H5">
        <v>3339.3</v>
      </c>
      <c r="I5">
        <v>3364.7</v>
      </c>
      <c r="J5">
        <f>TblCash[[#This Row],[Operating_Inflows]]-TblCash[[#This Row],[Operating_Outflows]]-TblCash[[#This Row],[Investing_Outflows]]+TblCash[[#This Row],[Financing_Inflows]]-TblCash[[#This Row],[Financing_Outflows]]</f>
        <v>25.400000000000006</v>
      </c>
      <c r="K5">
        <f>TblCash[[#This Row],[Operating_Inflows]]-TblCash[[#This Row],[Operating_Outflows]]-TblCash[[#This Row],[Investing_Outflows]]</f>
        <v>14.800000000000011</v>
      </c>
      <c r="L5">
        <f>TblCash[[#This Row],[Closing_Cash]]/TblCash[[#This Row],[Operating_Outflows]]+TblCash[[#This Row],[Financing_Outflows]]</f>
        <v>118.43427798531495</v>
      </c>
    </row>
    <row r="6" spans="1:12" x14ac:dyDescent="0.2">
      <c r="A6" s="1">
        <v>45413</v>
      </c>
      <c r="B6">
        <v>881.3</v>
      </c>
      <c r="C6">
        <v>708</v>
      </c>
      <c r="D6">
        <v>216.2</v>
      </c>
      <c r="E6">
        <v>102.6</v>
      </c>
      <c r="F6">
        <v>84.6</v>
      </c>
      <c r="G6">
        <v>-24.9</v>
      </c>
      <c r="H6">
        <v>3364.7</v>
      </c>
      <c r="I6">
        <v>3339.8</v>
      </c>
      <c r="J6">
        <f>TblCash[[#This Row],[Operating_Inflows]]-TblCash[[#This Row],[Operating_Outflows]]-TblCash[[#This Row],[Investing_Outflows]]+TblCash[[#This Row],[Financing_Inflows]]-TblCash[[#This Row],[Financing_Outflows]]</f>
        <v>-24.900000000000034</v>
      </c>
      <c r="K6">
        <f>TblCash[[#This Row],[Operating_Inflows]]-TblCash[[#This Row],[Operating_Outflows]]-TblCash[[#This Row],[Investing_Outflows]]</f>
        <v>-42.900000000000034</v>
      </c>
      <c r="L6">
        <f>TblCash[[#This Row],[Closing_Cash]]/TblCash[[#This Row],[Operating_Outflows]]+TblCash[[#This Row],[Financing_Outflows]]</f>
        <v>89.317231638418079</v>
      </c>
    </row>
    <row r="7" spans="1:12" x14ac:dyDescent="0.2">
      <c r="A7" s="1">
        <v>45444</v>
      </c>
      <c r="B7">
        <v>881.3</v>
      </c>
      <c r="C7">
        <v>729.6</v>
      </c>
      <c r="D7">
        <v>280.60000000000002</v>
      </c>
      <c r="E7">
        <v>91</v>
      </c>
      <c r="F7">
        <v>109.5</v>
      </c>
      <c r="G7">
        <v>-147.4</v>
      </c>
      <c r="H7">
        <v>3339.8</v>
      </c>
      <c r="I7">
        <v>3192.4</v>
      </c>
      <c r="J7">
        <f>TblCash[[#This Row],[Operating_Inflows]]-TblCash[[#This Row],[Operating_Outflows]]-TblCash[[#This Row],[Investing_Outflows]]+TblCash[[#This Row],[Financing_Inflows]]-TblCash[[#This Row],[Financing_Outflows]]</f>
        <v>-147.40000000000009</v>
      </c>
      <c r="K7">
        <f>TblCash[[#This Row],[Operating_Inflows]]-TblCash[[#This Row],[Operating_Outflows]]-TblCash[[#This Row],[Investing_Outflows]]</f>
        <v>-128.90000000000009</v>
      </c>
      <c r="L7">
        <f>TblCash[[#This Row],[Closing_Cash]]/TblCash[[#This Row],[Operating_Outflows]]+TblCash[[#This Row],[Financing_Outflows]]</f>
        <v>113.87554824561404</v>
      </c>
    </row>
    <row r="8" spans="1:12" x14ac:dyDescent="0.2">
      <c r="A8" s="1">
        <v>45474</v>
      </c>
      <c r="B8">
        <v>1026.3</v>
      </c>
      <c r="C8">
        <v>707.9</v>
      </c>
      <c r="D8">
        <v>301.5</v>
      </c>
      <c r="E8">
        <v>102.8</v>
      </c>
      <c r="F8">
        <v>111.4</v>
      </c>
      <c r="G8">
        <v>8.3000000000000007</v>
      </c>
      <c r="H8">
        <v>3192.4</v>
      </c>
      <c r="I8">
        <v>3200.7</v>
      </c>
      <c r="J8">
        <f>TblCash[[#This Row],[Operating_Inflows]]-TblCash[[#This Row],[Operating_Outflows]]-TblCash[[#This Row],[Investing_Outflows]]+TblCash[[#This Row],[Financing_Inflows]]-TblCash[[#This Row],[Financing_Outflows]]</f>
        <v>8.2999999999999687</v>
      </c>
      <c r="K8">
        <f>TblCash[[#This Row],[Operating_Inflows]]-TblCash[[#This Row],[Operating_Outflows]]-TblCash[[#This Row],[Investing_Outflows]]</f>
        <v>16.899999999999977</v>
      </c>
      <c r="L8">
        <f>TblCash[[#This Row],[Closing_Cash]]/TblCash[[#This Row],[Operating_Outflows]]+TblCash[[#This Row],[Financing_Outflows]]</f>
        <v>115.92140132787118</v>
      </c>
    </row>
    <row r="9" spans="1:12" x14ac:dyDescent="0.2">
      <c r="A9" s="1">
        <v>45505</v>
      </c>
      <c r="B9">
        <v>961.4</v>
      </c>
      <c r="C9">
        <v>879.7</v>
      </c>
      <c r="D9">
        <v>296.60000000000002</v>
      </c>
      <c r="E9">
        <v>40.4</v>
      </c>
      <c r="F9">
        <v>99.9</v>
      </c>
      <c r="G9">
        <v>-274.39999999999998</v>
      </c>
      <c r="H9">
        <v>3200.7</v>
      </c>
      <c r="I9">
        <v>2926.3</v>
      </c>
      <c r="J9">
        <f>TblCash[[#This Row],[Operating_Inflows]]-TblCash[[#This Row],[Operating_Outflows]]-TblCash[[#This Row],[Investing_Outflows]]+TblCash[[#This Row],[Financing_Inflows]]-TblCash[[#This Row],[Financing_Outflows]]</f>
        <v>-274.40000000000009</v>
      </c>
      <c r="K9">
        <f>TblCash[[#This Row],[Operating_Inflows]]-TblCash[[#This Row],[Operating_Outflows]]-TblCash[[#This Row],[Investing_Outflows]]</f>
        <v>-214.90000000000009</v>
      </c>
      <c r="L9">
        <f>TblCash[[#This Row],[Closing_Cash]]/TblCash[[#This Row],[Operating_Outflows]]+TblCash[[#This Row],[Financing_Outflows]]</f>
        <v>103.22647493463681</v>
      </c>
    </row>
    <row r="10" spans="1:12" x14ac:dyDescent="0.2">
      <c r="A10" s="1">
        <v>45536</v>
      </c>
      <c r="B10">
        <v>862.4</v>
      </c>
      <c r="C10">
        <v>749.1</v>
      </c>
      <c r="D10">
        <v>208</v>
      </c>
      <c r="E10">
        <v>93.4</v>
      </c>
      <c r="F10">
        <v>116</v>
      </c>
      <c r="G10">
        <v>-117.3</v>
      </c>
      <c r="H10">
        <v>2926.3</v>
      </c>
      <c r="I10">
        <v>2809</v>
      </c>
      <c r="J10">
        <f>TblCash[[#This Row],[Operating_Inflows]]-TblCash[[#This Row],[Operating_Outflows]]-TblCash[[#This Row],[Investing_Outflows]]+TblCash[[#This Row],[Financing_Inflows]]-TblCash[[#This Row],[Financing_Outflows]]</f>
        <v>-117.30000000000004</v>
      </c>
      <c r="K10">
        <f>TblCash[[#This Row],[Operating_Inflows]]-TblCash[[#This Row],[Operating_Outflows]]-TblCash[[#This Row],[Investing_Outflows]]</f>
        <v>-94.700000000000045</v>
      </c>
      <c r="L10">
        <f>TblCash[[#This Row],[Closing_Cash]]/TblCash[[#This Row],[Operating_Outflows]]+TblCash[[#This Row],[Financing_Outflows]]</f>
        <v>119.74983313309305</v>
      </c>
    </row>
    <row r="11" spans="1:12" x14ac:dyDescent="0.2">
      <c r="A11" s="1">
        <v>45566</v>
      </c>
      <c r="B11">
        <v>943.4</v>
      </c>
      <c r="C11">
        <v>676</v>
      </c>
      <c r="D11">
        <v>234.5</v>
      </c>
      <c r="E11">
        <v>110.7</v>
      </c>
      <c r="F11">
        <v>130.1</v>
      </c>
      <c r="G11">
        <v>13.5</v>
      </c>
      <c r="H11">
        <v>2809</v>
      </c>
      <c r="I11">
        <v>2822.5</v>
      </c>
      <c r="J11">
        <f>TblCash[[#This Row],[Operating_Inflows]]-TblCash[[#This Row],[Operating_Outflows]]-TblCash[[#This Row],[Investing_Outflows]]+TblCash[[#This Row],[Financing_Inflows]]-TblCash[[#This Row],[Financing_Outflows]]</f>
        <v>13.499999999999972</v>
      </c>
      <c r="K11">
        <f>TblCash[[#This Row],[Operating_Inflows]]-TblCash[[#This Row],[Operating_Outflows]]-TblCash[[#This Row],[Investing_Outflows]]</f>
        <v>32.899999999999977</v>
      </c>
      <c r="L11">
        <f>TblCash[[#This Row],[Closing_Cash]]/TblCash[[#This Row],[Operating_Outflows]]+TblCash[[#This Row],[Financing_Outflows]]</f>
        <v>134.27529585798817</v>
      </c>
    </row>
    <row r="12" spans="1:12" x14ac:dyDescent="0.2">
      <c r="A12" s="1">
        <v>45597</v>
      </c>
      <c r="B12">
        <v>862.9</v>
      </c>
      <c r="C12">
        <v>807.6</v>
      </c>
      <c r="D12">
        <v>266.60000000000002</v>
      </c>
      <c r="E12">
        <v>144.30000000000001</v>
      </c>
      <c r="F12">
        <v>167.2</v>
      </c>
      <c r="G12">
        <v>-234.2</v>
      </c>
      <c r="H12">
        <v>2822.5</v>
      </c>
      <c r="I12">
        <v>2588.3000000000002</v>
      </c>
      <c r="J12">
        <f>TblCash[[#This Row],[Operating_Inflows]]-TblCash[[#This Row],[Operating_Outflows]]-TblCash[[#This Row],[Investing_Outflows]]+TblCash[[#This Row],[Financing_Inflows]]-TblCash[[#This Row],[Financing_Outflows]]</f>
        <v>-234.20000000000005</v>
      </c>
      <c r="K12">
        <f>TblCash[[#This Row],[Operating_Inflows]]-TblCash[[#This Row],[Operating_Outflows]]-TblCash[[#This Row],[Investing_Outflows]]</f>
        <v>-211.30000000000007</v>
      </c>
      <c r="L12">
        <f>TblCash[[#This Row],[Closing_Cash]]/TblCash[[#This Row],[Operating_Outflows]]+TblCash[[#This Row],[Financing_Outflows]]</f>
        <v>170.40492818226843</v>
      </c>
    </row>
    <row r="13" spans="1:12" x14ac:dyDescent="0.2">
      <c r="A13" s="1">
        <v>45627</v>
      </c>
      <c r="B13">
        <v>862.7</v>
      </c>
      <c r="C13">
        <v>664.5</v>
      </c>
      <c r="D13">
        <v>298.8</v>
      </c>
      <c r="E13">
        <v>84.5</v>
      </c>
      <c r="F13">
        <v>124.4</v>
      </c>
      <c r="G13">
        <v>-140.5</v>
      </c>
      <c r="H13">
        <v>2588.3000000000002</v>
      </c>
      <c r="I13">
        <v>2447.8000000000002</v>
      </c>
      <c r="J13">
        <f>TblCash[[#This Row],[Operating_Inflows]]-TblCash[[#This Row],[Operating_Outflows]]-TblCash[[#This Row],[Investing_Outflows]]+TblCash[[#This Row],[Financing_Inflows]]-TblCash[[#This Row],[Financing_Outflows]]</f>
        <v>-140.49999999999997</v>
      </c>
      <c r="K13">
        <f>TblCash[[#This Row],[Operating_Inflows]]-TblCash[[#This Row],[Operating_Outflows]]-TblCash[[#This Row],[Investing_Outflows]]</f>
        <v>-100.59999999999997</v>
      </c>
      <c r="L13">
        <f>TblCash[[#This Row],[Closing_Cash]]/TblCash[[#This Row],[Operating_Outflows]]+TblCash[[#This Row],[Financing_Outflows]]</f>
        <v>128.08367193378481</v>
      </c>
    </row>
    <row r="14" spans="1:12" x14ac:dyDescent="0.2">
      <c r="A14" s="1">
        <v>45658</v>
      </c>
      <c r="B14">
        <v>919.4</v>
      </c>
      <c r="C14">
        <v>764.6</v>
      </c>
      <c r="D14">
        <v>226</v>
      </c>
      <c r="E14">
        <v>75.7</v>
      </c>
      <c r="F14">
        <v>126.4</v>
      </c>
      <c r="G14">
        <f>TblCash[[#This Row],[Operating_Inflows]]-TblCash[[#This Row],[Operating_Outflows]]-TblCash[[#This Row],[Investing_Outflows]]-TblCash[[#This Row],[Financing_Outflows]]+TblCash[[#This Row],[Financing_Inflows]]</f>
        <v>-121.90000000000005</v>
      </c>
      <c r="H14">
        <v>2447.8000000000002</v>
      </c>
      <c r="I14">
        <v>2325.9</v>
      </c>
      <c r="J14">
        <f>TblCash[[#This Row],[Operating_Inflows]]-TblCash[[#This Row],[Operating_Outflows]]-TblCash[[#This Row],[Investing_Outflows]]+TblCash[[#This Row],[Financing_Inflows]]-TblCash[[#This Row],[Financing_Outflows]]</f>
        <v>-121.90000000000005</v>
      </c>
      <c r="K14">
        <f>TblCash[[#This Row],[Operating_Inflows]]-TblCash[[#This Row],[Operating_Outflows]]-TblCash[[#This Row],[Investing_Outflows]]</f>
        <v>-71.200000000000045</v>
      </c>
      <c r="L14">
        <f>TblCash[[#This Row],[Closing_Cash]]/TblCash[[#This Row],[Operating_Outflows]]+TblCash[[#This Row],[Financing_Outflows]]</f>
        <v>129.44198273607117</v>
      </c>
    </row>
    <row r="15" spans="1:12" x14ac:dyDescent="0.2">
      <c r="A15" s="1">
        <v>45689</v>
      </c>
      <c r="B15">
        <v>746.9</v>
      </c>
      <c r="C15">
        <v>612.79999999999995</v>
      </c>
      <c r="D15">
        <v>240.7</v>
      </c>
      <c r="E15">
        <v>84.9</v>
      </c>
      <c r="F15">
        <v>118.1</v>
      </c>
      <c r="G15">
        <v>-139.80000000000001</v>
      </c>
      <c r="H15">
        <v>2325.9</v>
      </c>
      <c r="I15">
        <v>2186.099999999999</v>
      </c>
      <c r="J15">
        <f>TblCash[[#This Row],[Operating_Inflows]]-TblCash[[#This Row],[Operating_Outflows]]-TblCash[[#This Row],[Investing_Outflows]]+TblCash[[#This Row],[Financing_Inflows]]-TblCash[[#This Row],[Financing_Outflows]]</f>
        <v>-139.79999999999995</v>
      </c>
      <c r="K15">
        <f>TblCash[[#This Row],[Operating_Inflows]]-TblCash[[#This Row],[Operating_Outflows]]-TblCash[[#This Row],[Investing_Outflows]]</f>
        <v>-106.59999999999997</v>
      </c>
      <c r="L15">
        <f>TblCash[[#This Row],[Closing_Cash]]/TblCash[[#This Row],[Operating_Outflows]]+TblCash[[#This Row],[Financing_Outflows]]</f>
        <v>121.66739556135769</v>
      </c>
    </row>
    <row r="16" spans="1:12" x14ac:dyDescent="0.2">
      <c r="A16" s="1">
        <v>45717</v>
      </c>
      <c r="B16">
        <v>762</v>
      </c>
      <c r="C16">
        <v>657</v>
      </c>
      <c r="D16">
        <v>194.7</v>
      </c>
      <c r="E16">
        <v>127.5</v>
      </c>
      <c r="F16">
        <v>72</v>
      </c>
      <c r="G16">
        <v>-34.200000000000003</v>
      </c>
      <c r="H16">
        <v>2186.099999999999</v>
      </c>
      <c r="I16">
        <v>2151.9</v>
      </c>
      <c r="J16">
        <f>TblCash[[#This Row],[Operating_Inflows]]-TblCash[[#This Row],[Operating_Outflows]]-TblCash[[#This Row],[Investing_Outflows]]+TblCash[[#This Row],[Financing_Inflows]]-TblCash[[#This Row],[Financing_Outflows]]</f>
        <v>-34.199999999999989</v>
      </c>
      <c r="K16">
        <f>TblCash[[#This Row],[Operating_Inflows]]-TblCash[[#This Row],[Operating_Outflows]]-TblCash[[#This Row],[Investing_Outflows]]</f>
        <v>-89.699999999999989</v>
      </c>
      <c r="L16">
        <f>TblCash[[#This Row],[Closing_Cash]]/TblCash[[#This Row],[Operating_Outflows]]+TblCash[[#This Row],[Financing_Outflows]]</f>
        <v>75.275342465753425</v>
      </c>
    </row>
    <row r="17" spans="1:12" x14ac:dyDescent="0.2">
      <c r="A17" s="1">
        <v>45748</v>
      </c>
      <c r="B17">
        <v>855</v>
      </c>
      <c r="C17">
        <v>763.8</v>
      </c>
      <c r="D17">
        <v>190.2</v>
      </c>
      <c r="E17">
        <v>109.9</v>
      </c>
      <c r="F17">
        <v>119.3</v>
      </c>
      <c r="G17">
        <v>-108.4</v>
      </c>
      <c r="H17">
        <v>2151.9</v>
      </c>
      <c r="I17">
        <v>2043.5</v>
      </c>
      <c r="J17">
        <f>TblCash[[#This Row],[Operating_Inflows]]-TblCash[[#This Row],[Operating_Outflows]]-TblCash[[#This Row],[Investing_Outflows]]+TblCash[[#This Row],[Financing_Inflows]]-TblCash[[#This Row],[Financing_Outflows]]</f>
        <v>-108.39999999999993</v>
      </c>
      <c r="K17">
        <f>TblCash[[#This Row],[Operating_Inflows]]-TblCash[[#This Row],[Operating_Outflows]]-TblCash[[#This Row],[Investing_Outflows]]</f>
        <v>-98.999999999999943</v>
      </c>
      <c r="L17">
        <f>TblCash[[#This Row],[Closing_Cash]]/TblCash[[#This Row],[Operating_Outflows]]+TblCash[[#This Row],[Financing_Outflows]]</f>
        <v>121.97543859649123</v>
      </c>
    </row>
    <row r="18" spans="1:12" x14ac:dyDescent="0.2">
      <c r="A18" s="1">
        <v>45778</v>
      </c>
      <c r="B18">
        <v>819</v>
      </c>
      <c r="C18">
        <v>801.7</v>
      </c>
      <c r="D18">
        <v>290.60000000000002</v>
      </c>
      <c r="E18">
        <v>84.1</v>
      </c>
      <c r="F18">
        <v>121.5</v>
      </c>
      <c r="G18">
        <v>-310.7</v>
      </c>
      <c r="H18">
        <v>2043.5</v>
      </c>
      <c r="I18">
        <v>1732.799999999999</v>
      </c>
      <c r="J18">
        <f>TblCash[[#This Row],[Operating_Inflows]]-TblCash[[#This Row],[Operating_Outflows]]-TblCash[[#This Row],[Investing_Outflows]]+TblCash[[#This Row],[Financing_Inflows]]-TblCash[[#This Row],[Financing_Outflows]]</f>
        <v>-310.70000000000005</v>
      </c>
      <c r="K18">
        <f>TblCash[[#This Row],[Operating_Inflows]]-TblCash[[#This Row],[Operating_Outflows]]-TblCash[[#This Row],[Investing_Outflows]]</f>
        <v>-273.30000000000007</v>
      </c>
      <c r="L18">
        <f>TblCash[[#This Row],[Closing_Cash]]/TblCash[[#This Row],[Operating_Outflows]]+TblCash[[#This Row],[Financing_Outflows]]</f>
        <v>123.66140701010353</v>
      </c>
    </row>
    <row r="19" spans="1:12" x14ac:dyDescent="0.2">
      <c r="A19" s="1">
        <v>45809</v>
      </c>
      <c r="B19">
        <v>925.1</v>
      </c>
      <c r="C19">
        <v>762</v>
      </c>
      <c r="D19">
        <v>317.8</v>
      </c>
      <c r="E19">
        <v>115.4</v>
      </c>
      <c r="F19">
        <v>181.6</v>
      </c>
      <c r="G19">
        <v>-220.9</v>
      </c>
      <c r="H19">
        <v>1732.799999999999</v>
      </c>
      <c r="I19">
        <v>1511.899999999999</v>
      </c>
      <c r="J19">
        <f>TblCash[[#This Row],[Operating_Inflows]]-TblCash[[#This Row],[Operating_Outflows]]-TblCash[[#This Row],[Investing_Outflows]]+TblCash[[#This Row],[Financing_Inflows]]-TblCash[[#This Row],[Financing_Outflows]]</f>
        <v>-220.89999999999998</v>
      </c>
      <c r="K19">
        <f>TblCash[[#This Row],[Operating_Inflows]]-TblCash[[#This Row],[Operating_Outflows]]-TblCash[[#This Row],[Investing_Outflows]]</f>
        <v>-154.69999999999999</v>
      </c>
      <c r="L19">
        <f>TblCash[[#This Row],[Closing_Cash]]/TblCash[[#This Row],[Operating_Outflows]]+TblCash[[#This Row],[Financing_Outflows]]</f>
        <v>183.58412073490814</v>
      </c>
    </row>
    <row r="20" spans="1:12" x14ac:dyDescent="0.2">
      <c r="A20" s="1">
        <v>45839</v>
      </c>
      <c r="B20">
        <v>827.4</v>
      </c>
      <c r="C20">
        <v>741.9</v>
      </c>
      <c r="D20">
        <v>246.4</v>
      </c>
      <c r="E20">
        <v>102.9</v>
      </c>
      <c r="F20">
        <v>115.2</v>
      </c>
      <c r="G20">
        <v>-173.2</v>
      </c>
      <c r="H20">
        <v>1511.899999999999</v>
      </c>
      <c r="I20">
        <v>1338.6999999999989</v>
      </c>
      <c r="J20">
        <f>TblCash[[#This Row],[Operating_Inflows]]-TblCash[[#This Row],[Operating_Outflows]]-TblCash[[#This Row],[Investing_Outflows]]+TblCash[[#This Row],[Financing_Inflows]]-TblCash[[#This Row],[Financing_Outflows]]</f>
        <v>-173.2</v>
      </c>
      <c r="K20">
        <f>TblCash[[#This Row],[Operating_Inflows]]-TblCash[[#This Row],[Operating_Outflows]]-TblCash[[#This Row],[Investing_Outflows]]</f>
        <v>-160.9</v>
      </c>
      <c r="L20">
        <f>TblCash[[#This Row],[Closing_Cash]]/TblCash[[#This Row],[Operating_Outflows]]+TblCash[[#This Row],[Financing_Outflows]]</f>
        <v>117.00442108100822</v>
      </c>
    </row>
    <row r="21" spans="1:12" x14ac:dyDescent="0.2">
      <c r="A21" s="1">
        <v>45870</v>
      </c>
      <c r="B21">
        <v>787</v>
      </c>
      <c r="C21">
        <v>728.9</v>
      </c>
      <c r="D21">
        <v>300.2</v>
      </c>
      <c r="E21">
        <v>129.1</v>
      </c>
      <c r="F21">
        <v>127.5</v>
      </c>
      <c r="G21">
        <v>-240.5</v>
      </c>
      <c r="H21">
        <v>1338.6999999999989</v>
      </c>
      <c r="I21">
        <v>1098.1999999999989</v>
      </c>
      <c r="J21">
        <f>TblCash[[#This Row],[Operating_Inflows]]-TblCash[[#This Row],[Operating_Outflows]]-TblCash[[#This Row],[Investing_Outflows]]+TblCash[[#This Row],[Financing_Inflows]]-TblCash[[#This Row],[Financing_Outflows]]</f>
        <v>-240.49999999999997</v>
      </c>
      <c r="K21">
        <f>TblCash[[#This Row],[Operating_Inflows]]-TblCash[[#This Row],[Operating_Outflows]]-TblCash[[#This Row],[Investing_Outflows]]</f>
        <v>-242.09999999999997</v>
      </c>
      <c r="L21">
        <f>TblCash[[#This Row],[Closing_Cash]]/TblCash[[#This Row],[Operating_Outflows]]+TblCash[[#This Row],[Financing_Outflows]]</f>
        <v>129.00665386198381</v>
      </c>
    </row>
    <row r="22" spans="1:12" x14ac:dyDescent="0.2">
      <c r="A22" s="1">
        <v>45901</v>
      </c>
      <c r="B22">
        <v>1017.3</v>
      </c>
      <c r="C22">
        <v>646.5</v>
      </c>
      <c r="D22">
        <v>268.10000000000002</v>
      </c>
      <c r="E22">
        <v>78.900000000000006</v>
      </c>
      <c r="F22">
        <v>119.1</v>
      </c>
      <c r="G22">
        <v>62.5</v>
      </c>
      <c r="H22">
        <v>1098.1999999999989</v>
      </c>
      <c r="I22">
        <v>1160.6999999999989</v>
      </c>
      <c r="J22">
        <f>TblCash[[#This Row],[Operating_Inflows]]-TblCash[[#This Row],[Operating_Outflows]]-TblCash[[#This Row],[Investing_Outflows]]+TblCash[[#This Row],[Financing_Inflows]]-TblCash[[#This Row],[Financing_Outflows]]</f>
        <v>62.499999999999943</v>
      </c>
      <c r="K22">
        <f>TblCash[[#This Row],[Operating_Inflows]]-TblCash[[#This Row],[Operating_Outflows]]-TblCash[[#This Row],[Investing_Outflows]]</f>
        <v>102.69999999999993</v>
      </c>
      <c r="L22">
        <f>TblCash[[#This Row],[Closing_Cash]]/TblCash[[#This Row],[Operating_Outflows]]+TblCash[[#This Row],[Financing_Outflows]]</f>
        <v>120.89535962877029</v>
      </c>
    </row>
    <row r="23" spans="1:12" x14ac:dyDescent="0.2">
      <c r="A23" s="1">
        <v>45931</v>
      </c>
      <c r="B23">
        <v>881.9</v>
      </c>
      <c r="C23">
        <v>699.6</v>
      </c>
      <c r="D23">
        <v>217.7</v>
      </c>
      <c r="E23">
        <v>90.2</v>
      </c>
      <c r="F23">
        <v>90.8</v>
      </c>
      <c r="G23">
        <v>-36</v>
      </c>
      <c r="H23">
        <v>1160.6999999999989</v>
      </c>
      <c r="I23">
        <v>1124.6999999999989</v>
      </c>
      <c r="J23">
        <f>TblCash[[#This Row],[Operating_Inflows]]-TblCash[[#This Row],[Operating_Outflows]]-TblCash[[#This Row],[Investing_Outflows]]+TblCash[[#This Row],[Financing_Inflows]]-TblCash[[#This Row],[Financing_Outflows]]</f>
        <v>-36.000000000000028</v>
      </c>
      <c r="K23">
        <f>TblCash[[#This Row],[Operating_Inflows]]-TblCash[[#This Row],[Operating_Outflows]]-TblCash[[#This Row],[Investing_Outflows]]</f>
        <v>-35.400000000000034</v>
      </c>
      <c r="L23">
        <f>TblCash[[#This Row],[Closing_Cash]]/TblCash[[#This Row],[Operating_Outflows]]+TblCash[[#This Row],[Financing_Outflows]]</f>
        <v>92.407632933104622</v>
      </c>
    </row>
    <row r="24" spans="1:12" x14ac:dyDescent="0.2">
      <c r="A24" s="1">
        <v>45962</v>
      </c>
      <c r="B24">
        <v>905.4</v>
      </c>
      <c r="C24">
        <v>717.8</v>
      </c>
      <c r="D24">
        <v>268.10000000000002</v>
      </c>
      <c r="E24">
        <v>88.2</v>
      </c>
      <c r="F24">
        <v>148.6</v>
      </c>
      <c r="G24">
        <v>-140.9</v>
      </c>
      <c r="H24">
        <v>1124.6999999999989</v>
      </c>
      <c r="I24">
        <v>983.79999999999939</v>
      </c>
      <c r="J24">
        <f>TblCash[[#This Row],[Operating_Inflows]]-TblCash[[#This Row],[Operating_Outflows]]-TblCash[[#This Row],[Investing_Outflows]]+TblCash[[#This Row],[Financing_Inflows]]-TblCash[[#This Row],[Financing_Outflows]]</f>
        <v>-140.89999999999998</v>
      </c>
      <c r="K24">
        <f>TblCash[[#This Row],[Operating_Inflows]]-TblCash[[#This Row],[Operating_Outflows]]-TblCash[[#This Row],[Investing_Outflows]]</f>
        <v>-80.5</v>
      </c>
      <c r="L24">
        <f>TblCash[[#This Row],[Closing_Cash]]/TblCash[[#This Row],[Operating_Outflows]]+TblCash[[#This Row],[Financing_Outflows]]</f>
        <v>149.97057676232933</v>
      </c>
    </row>
    <row r="25" spans="1:12" x14ac:dyDescent="0.2">
      <c r="A25" s="1">
        <v>45992</v>
      </c>
      <c r="B25">
        <v>993</v>
      </c>
      <c r="C25">
        <v>824</v>
      </c>
      <c r="D25">
        <v>326.89999999999998</v>
      </c>
      <c r="E25">
        <v>56.1</v>
      </c>
      <c r="F25">
        <v>138.80000000000001</v>
      </c>
      <c r="G25">
        <v>-240.6</v>
      </c>
      <c r="H25">
        <v>983.79999999999939</v>
      </c>
      <c r="I25">
        <v>743.2</v>
      </c>
      <c r="J25">
        <f>TblCash[[#This Row],[Operating_Inflows]]-TblCash[[#This Row],[Operating_Outflows]]-TblCash[[#This Row],[Investing_Outflows]]+TblCash[[#This Row],[Financing_Inflows]]-TblCash[[#This Row],[Financing_Outflows]]</f>
        <v>-240.6</v>
      </c>
      <c r="K25">
        <f>TblCash[[#This Row],[Operating_Inflows]]-TblCash[[#This Row],[Operating_Outflows]]-TblCash[[#This Row],[Investing_Outflows]]</f>
        <v>-157.89999999999998</v>
      </c>
      <c r="L25">
        <f>TblCash[[#This Row],[Closing_Cash]]/TblCash[[#This Row],[Operating_Outflows]]+TblCash[[#This Row],[Financing_Outflows]]</f>
        <v>139.70194174757282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opLeftCell="E1" zoomScaleNormal="100" workbookViewId="0">
      <selection activeCell="J40" sqref="J40"/>
    </sheetView>
  </sheetViews>
  <sheetFormatPr baseColWidth="10" defaultColWidth="8.83203125" defaultRowHeight="15" x14ac:dyDescent="0.2"/>
  <cols>
    <col min="1" max="1" width="23.1640625" customWidth="1"/>
    <col min="2" max="2" width="20.6640625" customWidth="1"/>
    <col min="3" max="3" width="17.5" customWidth="1"/>
    <col min="4" max="4" width="11" customWidth="1"/>
    <col min="6" max="6" width="17.1640625" customWidth="1"/>
    <col min="7" max="7" width="15.1640625" customWidth="1"/>
    <col min="8" max="8" width="20" customWidth="1"/>
    <col min="9" max="9" width="15.33203125" customWidth="1"/>
    <col min="10" max="10" width="16.33203125" customWidth="1"/>
    <col min="11" max="11" width="15.33203125" customWidth="1"/>
    <col min="12" max="12" width="14.5" customWidth="1"/>
    <col min="13" max="13" width="17" customWidth="1"/>
    <col min="14" max="14" width="15.6640625" customWidth="1"/>
    <col min="15" max="15" width="12.33203125" customWidth="1"/>
  </cols>
  <sheetData>
    <row r="1" spans="1:16" x14ac:dyDescent="0.2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32</v>
      </c>
      <c r="J1" s="2" t="s">
        <v>33</v>
      </c>
      <c r="K1" s="2" t="s">
        <v>27</v>
      </c>
      <c r="L1" s="2" t="s">
        <v>34</v>
      </c>
      <c r="M1" s="2" t="s">
        <v>28</v>
      </c>
      <c r="N1" s="2" t="s">
        <v>29</v>
      </c>
      <c r="O1" s="2" t="s">
        <v>30</v>
      </c>
      <c r="P1" s="2" t="s">
        <v>31</v>
      </c>
    </row>
    <row r="2" spans="1:16" x14ac:dyDescent="0.2">
      <c r="A2" s="1">
        <v>45382</v>
      </c>
      <c r="B2">
        <v>4258</v>
      </c>
      <c r="C2">
        <v>3920</v>
      </c>
      <c r="D2">
        <v>2183</v>
      </c>
      <c r="E2">
        <v>4265</v>
      </c>
      <c r="F2">
        <v>3064</v>
      </c>
      <c r="G2">
        <v>14513</v>
      </c>
      <c r="H2">
        <v>11102</v>
      </c>
      <c r="I2" s="5">
        <v>11100</v>
      </c>
      <c r="J2" s="5">
        <v>7992</v>
      </c>
      <c r="K2">
        <f>ROUND(TblForecast[[#This Row],[Current_Assets]]/TblForecast[[#This Row],[Current_Liabilities]],2)</f>
        <v>1.31</v>
      </c>
      <c r="L2">
        <f>ROUND((TblForecast[[#This Row],[Cash]]+TblForecast[[#This Row],[Accounts_Receivable]])/TblForecast[[#This Row],[Current_Liabilities]],2)</f>
        <v>0.77</v>
      </c>
      <c r="M2">
        <f>ROUND(TblForecast[[#This Row],[Accounts_Receivable]]/TblForecast[[#This Row],[Revenue_TTM]]*365,1)</f>
        <v>140</v>
      </c>
      <c r="N2">
        <f>ROUND(TblForecast[[#This Row],[Accounts_Payable]]/TblForecast[[#This Row],[COGS_TTM]]*365,1)</f>
        <v>179</v>
      </c>
      <c r="O2">
        <f>ROUND(TblForecast[[#This Row],[Inventory]]/TblForecast[[#This Row],[COGS_TTM]]*365,1)</f>
        <v>99.7</v>
      </c>
      <c r="P2">
        <f>ROUND(TblForecast[[#This Row],[DSO_days]]+TblForecast[[#This Row],[DIO_days]]-TblForecast[[#This Row],[DPO_days]],1)</f>
        <v>60.7</v>
      </c>
    </row>
    <row r="3" spans="1:16" x14ac:dyDescent="0.2">
      <c r="A3" s="1">
        <v>45473</v>
      </c>
      <c r="B3">
        <v>3918</v>
      </c>
      <c r="C3">
        <v>3799</v>
      </c>
      <c r="D3">
        <v>2252</v>
      </c>
      <c r="E3">
        <v>4395</v>
      </c>
      <c r="F3">
        <v>3246</v>
      </c>
      <c r="G3">
        <v>15394</v>
      </c>
      <c r="H3">
        <v>10899</v>
      </c>
      <c r="I3" s="5">
        <v>11450</v>
      </c>
      <c r="J3" s="5">
        <v>8244</v>
      </c>
      <c r="K3">
        <f>ROUND(TblForecast[[#This Row],[Current_Assets]]/TblForecast[[#This Row],[Current_Liabilities]],2)</f>
        <v>1.41</v>
      </c>
      <c r="L3">
        <f>ROUND((TblForecast[[#This Row],[Cash]]+TblForecast[[#This Row],[Accounts_Receivable]])/TblForecast[[#This Row],[Current_Liabilities]],2)</f>
        <v>0.76</v>
      </c>
      <c r="M3">
        <f>ROUND(TblForecast[[#This Row],[Accounts_Receivable]]/TblForecast[[#This Row],[Revenue_TTM]]*365,1)</f>
        <v>124.9</v>
      </c>
      <c r="N3">
        <f>ROUND(TblForecast[[#This Row],[Accounts_Payable]]/TblForecast[[#This Row],[COGS_TTM]]*365,1)</f>
        <v>168.2</v>
      </c>
      <c r="O3">
        <f>ROUND(TblForecast[[#This Row],[Inventory]]/TblForecast[[#This Row],[COGS_TTM]]*365,1)</f>
        <v>99.7</v>
      </c>
      <c r="P3">
        <f>ROUND(TblForecast[[#This Row],[DSO_days]]+TblForecast[[#This Row],[DIO_days]]-TblForecast[[#This Row],[DPO_days]],1)</f>
        <v>56.4</v>
      </c>
    </row>
    <row r="4" spans="1:16" x14ac:dyDescent="0.2">
      <c r="A4" s="1">
        <v>45565</v>
      </c>
      <c r="B4">
        <v>4381</v>
      </c>
      <c r="C4">
        <v>3590</v>
      </c>
      <c r="D4">
        <v>2422</v>
      </c>
      <c r="E4">
        <v>3891</v>
      </c>
      <c r="F4">
        <v>3259</v>
      </c>
      <c r="G4">
        <v>15579</v>
      </c>
      <c r="H4">
        <v>10844</v>
      </c>
      <c r="I4" s="5">
        <v>11700</v>
      </c>
      <c r="J4" s="5">
        <v>8424</v>
      </c>
      <c r="K4">
        <f>ROUND(TblForecast[[#This Row],[Current_Assets]]/TblForecast[[#This Row],[Current_Liabilities]],2)</f>
        <v>1.44</v>
      </c>
      <c r="L4">
        <f>ROUND((TblForecast[[#This Row],[Cash]]+TblForecast[[#This Row],[Accounts_Receivable]])/TblForecast[[#This Row],[Current_Liabilities]],2)</f>
        <v>0.76</v>
      </c>
      <c r="M4">
        <f>ROUND(TblForecast[[#This Row],[Accounts_Receivable]]/TblForecast[[#This Row],[Revenue_TTM]]*365,1)</f>
        <v>136.69999999999999</v>
      </c>
      <c r="N4">
        <f>ROUND(TblForecast[[#This Row],[Accounts_Payable]]/TblForecast[[#This Row],[COGS_TTM]]*365,1)</f>
        <v>155.5</v>
      </c>
      <c r="O4">
        <f>ROUND(TblForecast[[#This Row],[Inventory]]/TblForecast[[#This Row],[COGS_TTM]]*365,1)</f>
        <v>104.9</v>
      </c>
      <c r="P4">
        <f>ROUND(TblForecast[[#This Row],[DSO_days]]+TblForecast[[#This Row],[DIO_days]]-TblForecast[[#This Row],[DPO_days]],1)</f>
        <v>86.1</v>
      </c>
    </row>
    <row r="5" spans="1:16" x14ac:dyDescent="0.2">
      <c r="A5" s="1">
        <v>45657</v>
      </c>
      <c r="B5">
        <v>3820</v>
      </c>
      <c r="C5">
        <v>3914</v>
      </c>
      <c r="D5">
        <v>2115</v>
      </c>
      <c r="E5">
        <v>3870</v>
      </c>
      <c r="F5">
        <v>3057</v>
      </c>
      <c r="G5">
        <v>14590</v>
      </c>
      <c r="H5">
        <v>10874</v>
      </c>
      <c r="I5" s="5">
        <v>11950</v>
      </c>
      <c r="J5" s="5">
        <v>8604</v>
      </c>
      <c r="K5">
        <f>ROUND(TblForecast[[#This Row],[Current_Assets]]/TblForecast[[#This Row],[Current_Liabilities]],2)</f>
        <v>1.34</v>
      </c>
      <c r="L5">
        <f>ROUND((TblForecast[[#This Row],[Cash]]+TblForecast[[#This Row],[Accounts_Receivable]])/TblForecast[[#This Row],[Current_Liabilities]],2)</f>
        <v>0.71</v>
      </c>
      <c r="M5">
        <f>ROUND(TblForecast[[#This Row],[Accounts_Receivable]]/TblForecast[[#This Row],[Revenue_TTM]]*365,1)</f>
        <v>116.7</v>
      </c>
      <c r="N5">
        <f>ROUND(TblForecast[[#This Row],[Accounts_Payable]]/TblForecast[[#This Row],[COGS_TTM]]*365,1)</f>
        <v>166</v>
      </c>
      <c r="O5">
        <f>ROUND(TblForecast[[#This Row],[Inventory]]/TblForecast[[#This Row],[COGS_TTM]]*365,1)</f>
        <v>89.7</v>
      </c>
      <c r="P5">
        <f>ROUND(TblForecast[[#This Row],[DSO_days]]+TblForecast[[#This Row],[DIO_days]]-TblForecast[[#This Row],[DPO_days]],1)</f>
        <v>40.4</v>
      </c>
    </row>
    <row r="6" spans="1:16" x14ac:dyDescent="0.2">
      <c r="A6" s="1">
        <v>45747</v>
      </c>
      <c r="B6">
        <v>4217</v>
      </c>
      <c r="C6">
        <v>3688</v>
      </c>
      <c r="D6">
        <v>2334</v>
      </c>
      <c r="E6">
        <v>4330</v>
      </c>
      <c r="F6">
        <v>3573</v>
      </c>
      <c r="G6">
        <v>15482</v>
      </c>
      <c r="H6">
        <v>11169</v>
      </c>
      <c r="I6" s="5">
        <v>12200</v>
      </c>
      <c r="J6" s="5">
        <v>8784</v>
      </c>
      <c r="K6">
        <f>ROUND(TblForecast[[#This Row],[Current_Assets]]/TblForecast[[#This Row],[Current_Liabilities]],2)</f>
        <v>1.39</v>
      </c>
      <c r="L6">
        <f>ROUND((TblForecast[[#This Row],[Cash]]+TblForecast[[#This Row],[Accounts_Receivable]])/TblForecast[[#This Row],[Current_Liabilities]],2)</f>
        <v>0.77</v>
      </c>
      <c r="M6">
        <f>ROUND(TblForecast[[#This Row],[Accounts_Receivable]]/TblForecast[[#This Row],[Revenue_TTM]]*365,1)</f>
        <v>126.2</v>
      </c>
      <c r="N6">
        <f>ROUND(TblForecast[[#This Row],[Accounts_Payable]]/TblForecast[[#This Row],[COGS_TTM]]*365,1)</f>
        <v>153.19999999999999</v>
      </c>
      <c r="O6">
        <f>ROUND(TblForecast[[#This Row],[Inventory]]/TblForecast[[#This Row],[COGS_TTM]]*365,1)</f>
        <v>97</v>
      </c>
      <c r="P6">
        <f>ROUND(TblForecast[[#This Row],[DSO_days]]+TblForecast[[#This Row],[DIO_days]]-TblForecast[[#This Row],[DPO_days]],1)</f>
        <v>70</v>
      </c>
    </row>
    <row r="7" spans="1:16" x14ac:dyDescent="0.2">
      <c r="A7" s="1">
        <v>45838</v>
      </c>
      <c r="B7">
        <v>4538</v>
      </c>
      <c r="C7">
        <v>3995</v>
      </c>
      <c r="D7">
        <v>2496</v>
      </c>
      <c r="E7">
        <v>4274</v>
      </c>
      <c r="F7">
        <v>3295</v>
      </c>
      <c r="G7">
        <v>15206</v>
      </c>
      <c r="H7">
        <v>11336</v>
      </c>
      <c r="I7" s="5">
        <v>12450</v>
      </c>
      <c r="J7" s="5">
        <v>8964</v>
      </c>
      <c r="K7">
        <f>ROUND(TblForecast[[#This Row],[Current_Assets]]/TblForecast[[#This Row],[Current_Liabilities]],2)</f>
        <v>1.34</v>
      </c>
      <c r="L7">
        <f>ROUND((TblForecast[[#This Row],[Cash]]+TblForecast[[#This Row],[Accounts_Receivable]])/TblForecast[[#This Row],[Current_Liabilities]],2)</f>
        <v>0.78</v>
      </c>
      <c r="M7">
        <f>ROUND(TblForecast[[#This Row],[Accounts_Receivable]]/TblForecast[[#This Row],[Revenue_TTM]]*365,1)</f>
        <v>133</v>
      </c>
      <c r="N7">
        <f>ROUND(TblForecast[[#This Row],[Accounts_Payable]]/TblForecast[[#This Row],[COGS_TTM]]*365,1)</f>
        <v>162.69999999999999</v>
      </c>
      <c r="O7">
        <f>ROUND(TblForecast[[#This Row],[Inventory]]/TblForecast[[#This Row],[COGS_TTM]]*365,1)</f>
        <v>101.6</v>
      </c>
      <c r="P7">
        <f>ROUND(TblForecast[[#This Row],[DSO_days]]+TblForecast[[#This Row],[DIO_days]]-TblForecast[[#This Row],[DPO_days]],1)</f>
        <v>71.900000000000006</v>
      </c>
    </row>
    <row r="8" spans="1:16" x14ac:dyDescent="0.2">
      <c r="A8" s="1">
        <v>45930</v>
      </c>
      <c r="B8">
        <v>3902</v>
      </c>
      <c r="C8">
        <v>3716</v>
      </c>
      <c r="D8">
        <v>2059</v>
      </c>
      <c r="E8">
        <v>4263</v>
      </c>
      <c r="F8">
        <v>2962</v>
      </c>
      <c r="G8">
        <v>15411</v>
      </c>
      <c r="H8">
        <v>11311</v>
      </c>
      <c r="I8" s="5">
        <v>12600</v>
      </c>
      <c r="J8" s="5">
        <v>9072</v>
      </c>
      <c r="K8">
        <f>ROUND(TblForecast[[#This Row],[Current_Assets]]/TblForecast[[#This Row],[Current_Liabilities]],2)</f>
        <v>1.36</v>
      </c>
      <c r="L8">
        <f>ROUND((TblForecast[[#This Row],[Cash]]+TblForecast[[#This Row],[Accounts_Receivable]])/TblForecast[[#This Row],[Current_Liabilities]],2)</f>
        <v>0.72</v>
      </c>
      <c r="M8">
        <f>ROUND(TblForecast[[#This Row],[Accounts_Receivable]]/TblForecast[[#This Row],[Revenue_TTM]]*365,1)</f>
        <v>113</v>
      </c>
      <c r="N8">
        <f>ROUND(TblForecast[[#This Row],[Accounts_Payable]]/TblForecast[[#This Row],[COGS_TTM]]*365,1)</f>
        <v>149.5</v>
      </c>
      <c r="O8">
        <f>ROUND(TblForecast[[#This Row],[Inventory]]/TblForecast[[#This Row],[COGS_TTM]]*365,1)</f>
        <v>82.8</v>
      </c>
      <c r="P8">
        <f>ROUND(TblForecast[[#This Row],[DSO_days]]+TblForecast[[#This Row],[DIO_days]]-TblForecast[[#This Row],[DPO_days]],1)</f>
        <v>46.3</v>
      </c>
    </row>
    <row r="9" spans="1:16" x14ac:dyDescent="0.2">
      <c r="A9" s="1">
        <v>46022</v>
      </c>
      <c r="B9">
        <v>3987</v>
      </c>
      <c r="C9">
        <v>4210</v>
      </c>
      <c r="D9">
        <v>2328</v>
      </c>
      <c r="E9">
        <v>4287</v>
      </c>
      <c r="F9">
        <v>3331</v>
      </c>
      <c r="G9">
        <v>15948</v>
      </c>
      <c r="H9">
        <v>11531</v>
      </c>
      <c r="I9" s="5">
        <v>12800</v>
      </c>
      <c r="J9" s="5">
        <v>9216</v>
      </c>
      <c r="K9">
        <f>ROUND(TblForecast[[#This Row],[Current_Assets]]/TblForecast[[#This Row],[Current_Liabilities]],2)</f>
        <v>1.38</v>
      </c>
      <c r="L9">
        <f>ROUND((TblForecast[[#This Row],[Cash]]+TblForecast[[#This Row],[Accounts_Receivable]])/TblForecast[[#This Row],[Current_Liabilities]],2)</f>
        <v>0.72</v>
      </c>
      <c r="M9">
        <f>ROUND(TblForecast[[#This Row],[Accounts_Receivable]]/TblForecast[[#This Row],[Revenue_TTM]]*365,1)</f>
        <v>113.7</v>
      </c>
      <c r="N9">
        <f>ROUND(TblForecast[[#This Row],[Accounts_Payable]]/TblForecast[[#This Row],[COGS_TTM]]*365,1)</f>
        <v>166.7</v>
      </c>
      <c r="O9">
        <f>ROUND(TblForecast[[#This Row],[Inventory]]/TblForecast[[#This Row],[COGS_TTM]]*365,1)</f>
        <v>92.2</v>
      </c>
      <c r="P9">
        <f>ROUND(TblForecast[[#This Row],[DSO_days]]+TblForecast[[#This Row],[DIO_days]]-TblForecast[[#This Row],[DPO_days]],1)</f>
        <v>39.200000000000003</v>
      </c>
    </row>
    <row r="17" spans="12:20" x14ac:dyDescent="0.2">
      <c r="L17" s="3"/>
      <c r="M17" s="3"/>
      <c r="N17" s="3"/>
      <c r="O17" s="3"/>
      <c r="P17" s="3"/>
      <c r="Q17" s="3"/>
      <c r="R17" s="3"/>
      <c r="S17" s="3"/>
      <c r="T17" s="3"/>
    </row>
    <row r="18" spans="12:20" x14ac:dyDescent="0.2">
      <c r="L18" s="4"/>
      <c r="M18" s="5"/>
      <c r="N18" s="5"/>
    </row>
    <row r="19" spans="12:20" x14ac:dyDescent="0.2">
      <c r="L19" s="4"/>
      <c r="M19" s="5"/>
      <c r="N19" s="5"/>
    </row>
    <row r="20" spans="12:20" x14ac:dyDescent="0.2">
      <c r="L20" s="4"/>
      <c r="M20" s="5"/>
      <c r="N20" s="5"/>
    </row>
    <row r="21" spans="12:20" x14ac:dyDescent="0.2">
      <c r="L21" s="4"/>
      <c r="M21" s="5"/>
      <c r="N21" s="5"/>
    </row>
    <row r="22" spans="12:20" x14ac:dyDescent="0.2">
      <c r="L22" s="4"/>
      <c r="M22" s="5"/>
      <c r="N22" s="5"/>
    </row>
    <row r="23" spans="12:20" x14ac:dyDescent="0.2">
      <c r="L23" s="4"/>
      <c r="M23" s="5"/>
      <c r="N23" s="5"/>
    </row>
    <row r="24" spans="12:20" x14ac:dyDescent="0.2">
      <c r="L24" s="4"/>
      <c r="M24" s="5"/>
      <c r="N24" s="5"/>
    </row>
    <row r="25" spans="12:20" x14ac:dyDescent="0.2">
      <c r="L25" s="4"/>
      <c r="M25" s="5"/>
      <c r="N25" s="5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zoomScale="178" zoomScaleNormal="100" workbookViewId="0">
      <selection activeCell="E5" sqref="E5"/>
    </sheetView>
  </sheetViews>
  <sheetFormatPr baseColWidth="10" defaultColWidth="8.83203125" defaultRowHeight="15" x14ac:dyDescent="0.2"/>
  <cols>
    <col min="1" max="1" width="10.1640625" customWidth="1"/>
    <col min="2" max="2" width="20.1640625" customWidth="1"/>
    <col min="3" max="3" width="20.33203125" customWidth="1"/>
    <col min="4" max="4" width="22" customWidth="1"/>
    <col min="5" max="5" width="30.1640625" customWidth="1"/>
  </cols>
  <sheetData>
    <row r="1" spans="1:5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">
      <c r="A2" t="s">
        <v>21</v>
      </c>
      <c r="B2">
        <v>3</v>
      </c>
      <c r="C2">
        <v>2.5</v>
      </c>
      <c r="D2">
        <v>3</v>
      </c>
      <c r="E2">
        <v>1600</v>
      </c>
    </row>
    <row r="3" spans="1:5" x14ac:dyDescent="0.2">
      <c r="A3" t="s">
        <v>22</v>
      </c>
      <c r="B3">
        <v>5</v>
      </c>
      <c r="C3">
        <v>2</v>
      </c>
      <c r="D3">
        <v>2.5</v>
      </c>
      <c r="E3">
        <v>2000</v>
      </c>
    </row>
    <row r="4" spans="1:5" x14ac:dyDescent="0.2">
      <c r="A4" t="s">
        <v>23</v>
      </c>
      <c r="B4">
        <v>1</v>
      </c>
      <c r="C4">
        <v>3</v>
      </c>
      <c r="D4">
        <v>4</v>
      </c>
      <c r="E4">
        <v>1200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5DD8-CBA8-9F4B-A1E7-0E3503F6BCDC}">
  <dimension ref="B2:F9"/>
  <sheetViews>
    <sheetView zoomScale="89" workbookViewId="0">
      <selection activeCell="F4" sqref="F4"/>
    </sheetView>
  </sheetViews>
  <sheetFormatPr baseColWidth="10" defaultRowHeight="15" x14ac:dyDescent="0.2"/>
  <cols>
    <col min="2" max="2" width="21.33203125" customWidth="1"/>
    <col min="3" max="3" width="13.83203125" customWidth="1"/>
    <col min="4" max="4" width="20" customWidth="1"/>
  </cols>
  <sheetData>
    <row r="2" spans="2:6" ht="16" thickBot="1" x14ac:dyDescent="0.25"/>
    <row r="3" spans="2:6" x14ac:dyDescent="0.2">
      <c r="B3" s="13"/>
      <c r="C3" s="14" t="s">
        <v>35</v>
      </c>
      <c r="D3" s="14"/>
      <c r="E3" s="14" t="s">
        <v>44</v>
      </c>
      <c r="F3" s="15">
        <v>5</v>
      </c>
    </row>
    <row r="4" spans="2:6" x14ac:dyDescent="0.2">
      <c r="B4" s="16"/>
      <c r="C4" t="s">
        <v>21</v>
      </c>
      <c r="F4" s="17"/>
    </row>
    <row r="5" spans="2:6" x14ac:dyDescent="0.2">
      <c r="B5" s="16"/>
      <c r="F5" s="17"/>
    </row>
    <row r="6" spans="2:6" x14ac:dyDescent="0.2">
      <c r="B6" s="16" t="s">
        <v>17</v>
      </c>
      <c r="C6">
        <f>_xlfn.XLOOKUP(SelScenario,TblScenarios[Scenario],TblScenarios[Revenue_Growth_%])</f>
        <v>3</v>
      </c>
      <c r="F6" s="17"/>
    </row>
    <row r="7" spans="2:6" x14ac:dyDescent="0.2">
      <c r="B7" s="16" t="s">
        <v>18</v>
      </c>
      <c r="C7">
        <f>_xlfn.XLOOKUP(SelScenario,TblScenarios[Scenario],TblScenarios[COGS_Growth_%])</f>
        <v>2.5</v>
      </c>
      <c r="F7" s="17"/>
    </row>
    <row r="8" spans="2:6" x14ac:dyDescent="0.2">
      <c r="B8" s="16" t="s">
        <v>19</v>
      </c>
      <c r="C8">
        <f>_xlfn.XLOOKUP(SelScenario,TblScenarios[Scenario],TblScenarios[Interest_Rate_%])</f>
        <v>3</v>
      </c>
      <c r="F8" s="17"/>
    </row>
    <row r="9" spans="2:6" ht="16" thickBot="1" x14ac:dyDescent="0.25">
      <c r="B9" s="18" t="s">
        <v>20</v>
      </c>
      <c r="C9" s="19">
        <f>_xlfn.XLOOKUP(SelScenario,TblScenarios[Scenario],TblScenarios[CapEx_€M])</f>
        <v>1600</v>
      </c>
      <c r="D9" s="19"/>
      <c r="E9" s="19"/>
      <c r="F9" s="20"/>
    </row>
  </sheetData>
  <dataValidations count="1">
    <dataValidation type="list" allowBlank="1" showInputMessage="1" showErrorMessage="1" sqref="C4" xr:uid="{2ACC8754-F413-B446-8226-146E97EF5BC2}">
      <formula1>"Base, Optimistic, Pessimistic"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0283-ADCE-4F4D-A3CE-4FF65362579A}">
  <dimension ref="A1:P25"/>
  <sheetViews>
    <sheetView tabSelected="1" topLeftCell="F1" zoomScale="106" zoomScaleNormal="169" workbookViewId="0">
      <selection activeCell="D14" sqref="D14"/>
    </sheetView>
  </sheetViews>
  <sheetFormatPr baseColWidth="10" defaultRowHeight="15" x14ac:dyDescent="0.2"/>
  <cols>
    <col min="1" max="1" width="27.1640625" customWidth="1"/>
    <col min="2" max="2" width="17" customWidth="1"/>
    <col min="3" max="3" width="18.5" customWidth="1"/>
    <col min="4" max="4" width="21.83203125" customWidth="1"/>
    <col min="5" max="5" width="19.33203125" customWidth="1"/>
    <col min="6" max="6" width="20.5" customWidth="1"/>
    <col min="7" max="7" width="22" customWidth="1"/>
    <col min="8" max="8" width="19.1640625" customWidth="1"/>
    <col min="9" max="9" width="27.6640625" customWidth="1"/>
    <col min="11" max="11" width="23" customWidth="1"/>
    <col min="12" max="12" width="17.5" customWidth="1"/>
    <col min="13" max="13" width="17.1640625" customWidth="1"/>
    <col min="14" max="14" width="17.6640625" customWidth="1"/>
    <col min="15" max="15" width="17.1640625" customWidth="1"/>
    <col min="16" max="16" width="28.5" customWidth="1"/>
  </cols>
  <sheetData>
    <row r="1" spans="1:16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1" t="s">
        <v>36</v>
      </c>
      <c r="H1" s="11" t="s">
        <v>37</v>
      </c>
      <c r="I1" s="11" t="s">
        <v>38</v>
      </c>
      <c r="J1" s="11" t="s">
        <v>39</v>
      </c>
      <c r="K1" s="11" t="s">
        <v>40</v>
      </c>
      <c r="L1" s="11" t="s">
        <v>41</v>
      </c>
      <c r="M1" s="11" t="s">
        <v>43</v>
      </c>
      <c r="N1" s="11" t="s">
        <v>42</v>
      </c>
      <c r="O1" s="10" t="s">
        <v>45</v>
      </c>
      <c r="P1" s="11" t="s">
        <v>46</v>
      </c>
    </row>
    <row r="2" spans="1:16" x14ac:dyDescent="0.2">
      <c r="A2" s="7">
        <v>45658</v>
      </c>
      <c r="B2" s="21">
        <v>919.4</v>
      </c>
      <c r="C2" s="21">
        <v>764.6</v>
      </c>
      <c r="D2" s="21">
        <v>226</v>
      </c>
      <c r="E2" s="21">
        <v>75.7</v>
      </c>
      <c r="F2" s="21">
        <v>126.4</v>
      </c>
      <c r="G2" s="10">
        <f>Table7[[#This Row],[Operating_Inflows]]-Table7[[#This Row],[Operating_Outflows]]-Table7[[#This Row],[Investing_Outflows]]+Table7[[#This Row],[Financing_Inflows]]-Table7[[#This Row],[Financing_Outflows]]</f>
        <v>-121.90000000000005</v>
      </c>
      <c r="H2" s="10">
        <v>2447.8000000000002</v>
      </c>
      <c r="I2" s="10">
        <v>2325.9</v>
      </c>
      <c r="J2" s="10">
        <f>Table7[[#This Row],[Operating_Inflows]]-Table7[[#This Row],[Operating_Outflows]]-Table7[[#This Row],[Investing_Outflows]]</f>
        <v>-71.200000000000045</v>
      </c>
      <c r="K2" s="10">
        <f>Table7[[#This Row],[FCF]]/Table7[[#This Row],[EBITDA/EBIT_PROXY]]</f>
        <v>-0.45994832041343714</v>
      </c>
      <c r="L2" s="10">
        <f>Table7[[#This Row],[forecast_closing]]/(Table7[[#This Row],[Operating_Outflows]]/12)</f>
        <v>36.503792832853783</v>
      </c>
      <c r="M2" s="10">
        <f>Table7[[#This Row],[EBITDA/EBIT_PROXY]]/Table7[[#This Row],[INTEREST PROXY]]</f>
        <v>3.0617088607594924</v>
      </c>
      <c r="N2" s="22">
        <f>Table7[[#This Row],[EBITDA/EBIT_PROXY]]/Table7[[#This Row],[Operating_Inflows]]</f>
        <v>0.1683706765281705</v>
      </c>
      <c r="O2" s="10">
        <f>Table7[[#This Row],[Operating_Inflows]]-Table7[[#This Row],[Operating_Outflows]]</f>
        <v>154.79999999999995</v>
      </c>
      <c r="P2" s="10">
        <f>0.4*Table7[[#This Row],[Financing_Outflows]]</f>
        <v>50.56</v>
      </c>
    </row>
    <row r="3" spans="1:16" x14ac:dyDescent="0.2">
      <c r="A3" s="8">
        <v>45689</v>
      </c>
      <c r="B3" s="23">
        <v>746.9</v>
      </c>
      <c r="C3" s="23">
        <v>612.79999999999995</v>
      </c>
      <c r="D3" s="23">
        <v>240.7</v>
      </c>
      <c r="E3" s="23">
        <v>84.9</v>
      </c>
      <c r="F3" s="23">
        <v>118.1</v>
      </c>
      <c r="G3" s="10">
        <f>Table7[[#This Row],[Operating_Inflows]]-Table7[[#This Row],[Operating_Outflows]]-Table7[[#This Row],[Investing_Outflows]]+Table7[[#This Row],[Financing_Inflows]]-Table7[[#This Row],[Financing_Outflows]]</f>
        <v>-139.79999999999995</v>
      </c>
      <c r="H3" s="10">
        <v>2325.9</v>
      </c>
      <c r="I3" s="10">
        <v>2186.099999999999</v>
      </c>
      <c r="J3" s="10">
        <f>Table7[[#This Row],[Operating_Inflows]]-Table7[[#This Row],[Operating_Outflows]]-Table7[[#This Row],[Investing_Outflows]]</f>
        <v>-106.59999999999997</v>
      </c>
      <c r="K3" s="10">
        <f>Table7[[#This Row],[FCF]]/Table7[[#This Row],[EBITDA/EBIT_PROXY]]</f>
        <v>-0.79492915734526437</v>
      </c>
      <c r="L3" s="10">
        <f>Table7[[#This Row],[forecast_closing]]/(Table7[[#This Row],[Operating_Outflows]]/12)</f>
        <v>42.808746736292413</v>
      </c>
      <c r="M3" s="10">
        <f>Table7[[#This Row],[EBITDA/EBIT_PROXY]]/Table7[[#This Row],[INTEREST PROXY]]</f>
        <v>2.8386960203217617</v>
      </c>
      <c r="N3" s="22">
        <f>Table7[[#This Row],[EBITDA/EBIT_PROXY]]/Table7[[#This Row],[Operating_Inflows]]</f>
        <v>0.17954210737715895</v>
      </c>
      <c r="O3" s="10">
        <f>Table7[[#This Row],[Operating_Inflows]]-Table7[[#This Row],[Operating_Outflows]]</f>
        <v>134.10000000000002</v>
      </c>
      <c r="P3" s="10">
        <f>0.4*Table7[[#This Row],[Financing_Outflows]]</f>
        <v>47.24</v>
      </c>
    </row>
    <row r="4" spans="1:16" x14ac:dyDescent="0.2">
      <c r="A4" s="7">
        <v>45717</v>
      </c>
      <c r="B4" s="21">
        <v>762</v>
      </c>
      <c r="C4" s="21">
        <v>657</v>
      </c>
      <c r="D4" s="21">
        <v>194.7</v>
      </c>
      <c r="E4" s="21">
        <v>127.5</v>
      </c>
      <c r="F4" s="21">
        <v>72</v>
      </c>
      <c r="G4" s="10">
        <f>Table7[[#This Row],[Operating_Inflows]]-Table7[[#This Row],[Operating_Outflows]]-Table7[[#This Row],[Investing_Outflows]]+Table7[[#This Row],[Financing_Inflows]]-Table7[[#This Row],[Financing_Outflows]]</f>
        <v>-34.199999999999989</v>
      </c>
      <c r="H4" s="10">
        <v>2186.099999999999</v>
      </c>
      <c r="I4" s="10">
        <v>2151.9</v>
      </c>
      <c r="J4" s="10">
        <f>Table7[[#This Row],[Operating_Inflows]]-Table7[[#This Row],[Operating_Outflows]]-Table7[[#This Row],[Investing_Outflows]]</f>
        <v>-89.699999999999989</v>
      </c>
      <c r="K4" s="10">
        <f>Table7[[#This Row],[FCF]]/Table7[[#This Row],[EBITDA/EBIT_PROXY]]</f>
        <v>-0.8542857142857142</v>
      </c>
      <c r="L4" s="10">
        <f>Table7[[#This Row],[forecast_closing]]/(Table7[[#This Row],[Operating_Outflows]]/12)</f>
        <v>39.304109589041097</v>
      </c>
      <c r="M4" s="10">
        <f>Table7[[#This Row],[EBITDA/EBIT_PROXY]]/Table7[[#This Row],[INTEREST PROXY]]</f>
        <v>3.645833333333333</v>
      </c>
      <c r="N4" s="22">
        <f>Table7[[#This Row],[EBITDA/EBIT_PROXY]]/Table7[[#This Row],[Operating_Inflows]]</f>
        <v>0.13779527559055119</v>
      </c>
      <c r="O4" s="10">
        <f>Table7[[#This Row],[Operating_Inflows]]-Table7[[#This Row],[Operating_Outflows]]</f>
        <v>105</v>
      </c>
      <c r="P4" s="10">
        <f>0.4*Table7[[#This Row],[Financing_Outflows]]</f>
        <v>28.8</v>
      </c>
    </row>
    <row r="5" spans="1:16" x14ac:dyDescent="0.2">
      <c r="A5" s="8">
        <v>45748</v>
      </c>
      <c r="B5" s="23">
        <v>855</v>
      </c>
      <c r="C5" s="23">
        <v>763.8</v>
      </c>
      <c r="D5" s="23">
        <v>190.2</v>
      </c>
      <c r="E5" s="23">
        <v>109.9</v>
      </c>
      <c r="F5" s="23">
        <v>119.3</v>
      </c>
      <c r="G5" s="10">
        <f>Table7[[#This Row],[Operating_Inflows]]-Table7[[#This Row],[Operating_Outflows]]-Table7[[#This Row],[Investing_Outflows]]+Table7[[#This Row],[Financing_Inflows]]-Table7[[#This Row],[Financing_Outflows]]</f>
        <v>-108.39999999999993</v>
      </c>
      <c r="H5" s="10">
        <v>2151.9</v>
      </c>
      <c r="I5" s="10">
        <v>2043.5</v>
      </c>
      <c r="J5" s="10">
        <f>Table7[[#This Row],[Operating_Inflows]]-Table7[[#This Row],[Operating_Outflows]]-Table7[[#This Row],[Investing_Outflows]]</f>
        <v>-98.999999999999943</v>
      </c>
      <c r="K5" s="10">
        <f>Table7[[#This Row],[FCF]]/Table7[[#This Row],[EBITDA/EBIT_PROXY]]</f>
        <v>-1.0855263157894726</v>
      </c>
      <c r="L5" s="10">
        <f>Table7[[#This Row],[forecast_closing]]/(Table7[[#This Row],[Operating_Outflows]]/12)</f>
        <v>32.10526315789474</v>
      </c>
      <c r="M5" s="10">
        <f>Table7[[#This Row],[EBITDA/EBIT_PROXY]]/Table7[[#This Row],[INTEREST PROXY]]</f>
        <v>1.9111483654652148</v>
      </c>
      <c r="N5" s="22">
        <f>Table7[[#This Row],[EBITDA/EBIT_PROXY]]/Table7[[#This Row],[Operating_Inflows]]</f>
        <v>0.10666666666666672</v>
      </c>
      <c r="O5" s="10">
        <f>Table7[[#This Row],[Operating_Inflows]]-Table7[[#This Row],[Operating_Outflows]]</f>
        <v>91.200000000000045</v>
      </c>
      <c r="P5" s="10">
        <f>0.4*Table7[[#This Row],[Financing_Outflows]]</f>
        <v>47.72</v>
      </c>
    </row>
    <row r="6" spans="1:16" x14ac:dyDescent="0.2">
      <c r="A6" s="7">
        <v>45778</v>
      </c>
      <c r="B6" s="21">
        <v>819</v>
      </c>
      <c r="C6" s="21">
        <v>801.7</v>
      </c>
      <c r="D6" s="21">
        <v>290.60000000000002</v>
      </c>
      <c r="E6" s="21">
        <v>84.1</v>
      </c>
      <c r="F6" s="21">
        <v>121.5</v>
      </c>
      <c r="G6" s="10">
        <f>Table7[[#This Row],[Operating_Inflows]]-Table7[[#This Row],[Operating_Outflows]]-Table7[[#This Row],[Investing_Outflows]]+Table7[[#This Row],[Financing_Inflows]]-Table7[[#This Row],[Financing_Outflows]]</f>
        <v>-310.70000000000005</v>
      </c>
      <c r="H6" s="10">
        <v>2043.5</v>
      </c>
      <c r="I6" s="10">
        <v>1732.799999999999</v>
      </c>
      <c r="J6" s="10">
        <f>Table7[[#This Row],[Operating_Inflows]]-Table7[[#This Row],[Operating_Outflows]]-Table7[[#This Row],[Investing_Outflows]]</f>
        <v>-273.30000000000007</v>
      </c>
      <c r="K6" s="10">
        <f>Table7[[#This Row],[FCF]]/Table7[[#This Row],[EBITDA/EBIT_PROXY]]</f>
        <v>-15.797687861271722</v>
      </c>
      <c r="L6" s="10">
        <f>Table7[[#This Row],[forecast_closing]]/(Table7[[#This Row],[Operating_Outflows]]/12)</f>
        <v>25.936884121242343</v>
      </c>
      <c r="M6" s="10">
        <f>Table7[[#This Row],[EBITDA/EBIT_PROXY]]/Table7[[#This Row],[INTEREST PROXY]]</f>
        <v>0.35596707818929946</v>
      </c>
      <c r="N6" s="22">
        <f>Table7[[#This Row],[EBITDA/EBIT_PROXY]]/Table7[[#This Row],[Operating_Inflows]]</f>
        <v>2.1123321123321069E-2</v>
      </c>
      <c r="O6" s="10">
        <f>Table7[[#This Row],[Operating_Inflows]]-Table7[[#This Row],[Operating_Outflows]]</f>
        <v>17.299999999999955</v>
      </c>
      <c r="P6" s="10">
        <f>0.4*Table7[[#This Row],[Financing_Outflows]]</f>
        <v>48.6</v>
      </c>
    </row>
    <row r="7" spans="1:16" x14ac:dyDescent="0.2">
      <c r="A7" s="8">
        <v>45809</v>
      </c>
      <c r="B7" s="23">
        <v>925.1</v>
      </c>
      <c r="C7" s="23">
        <v>762</v>
      </c>
      <c r="D7" s="23">
        <v>317.8</v>
      </c>
      <c r="E7" s="23">
        <v>115.4</v>
      </c>
      <c r="F7" s="23">
        <v>181.6</v>
      </c>
      <c r="G7" s="10">
        <f>Table7[[#This Row],[Operating_Inflows]]-Table7[[#This Row],[Operating_Outflows]]-Table7[[#This Row],[Investing_Outflows]]+Table7[[#This Row],[Financing_Inflows]]-Table7[[#This Row],[Financing_Outflows]]</f>
        <v>-220.89999999999998</v>
      </c>
      <c r="H7" s="10">
        <v>1732.799999999999</v>
      </c>
      <c r="I7" s="10">
        <v>1511.9</v>
      </c>
      <c r="J7" s="10">
        <f>Table7[[#This Row],[Operating_Inflows]]-Table7[[#This Row],[Operating_Outflows]]-Table7[[#This Row],[Investing_Outflows]]</f>
        <v>-154.69999999999999</v>
      </c>
      <c r="K7" s="10">
        <f>Table7[[#This Row],[FCF]]/Table7[[#This Row],[EBITDA/EBIT_PROXY]]</f>
        <v>-0.94849785407725307</v>
      </c>
      <c r="L7" s="10">
        <f>Table7[[#This Row],[forecast_closing]]/(Table7[[#This Row],[Operating_Outflows]]/12)</f>
        <v>23.809448818897639</v>
      </c>
      <c r="M7" s="10">
        <f>Table7[[#This Row],[EBITDA/EBIT_PROXY]]/Table7[[#This Row],[INTEREST PROXY]]</f>
        <v>2.2453193832599121</v>
      </c>
      <c r="N7" s="22">
        <f>Table7[[#This Row],[EBITDA/EBIT_PROXY]]/Table7[[#This Row],[Operating_Inflows]]</f>
        <v>0.17630526429575183</v>
      </c>
      <c r="O7" s="10">
        <f>Table7[[#This Row],[Operating_Inflows]]-Table7[[#This Row],[Operating_Outflows]]</f>
        <v>163.10000000000002</v>
      </c>
      <c r="P7" s="10">
        <f>0.4*Table7[[#This Row],[Financing_Outflows]]</f>
        <v>72.64</v>
      </c>
    </row>
    <row r="8" spans="1:16" x14ac:dyDescent="0.2">
      <c r="A8" s="7">
        <v>45839</v>
      </c>
      <c r="B8" s="21">
        <v>827.4</v>
      </c>
      <c r="C8" s="21">
        <v>741.9</v>
      </c>
      <c r="D8" s="21">
        <v>246.4</v>
      </c>
      <c r="E8" s="21">
        <v>102.9</v>
      </c>
      <c r="F8" s="21">
        <v>115.2</v>
      </c>
      <c r="G8" s="10">
        <f>Table7[[#This Row],[Operating_Inflows]]-Table7[[#This Row],[Operating_Outflows]]-Table7[[#This Row],[Investing_Outflows]]+Table7[[#This Row],[Financing_Inflows]]-Table7[[#This Row],[Financing_Outflows]]</f>
        <v>-173.2</v>
      </c>
      <c r="H8" s="10">
        <v>1511.899999999999</v>
      </c>
      <c r="I8" s="10">
        <v>1338.6999999999989</v>
      </c>
      <c r="J8" s="10">
        <f>Table7[[#This Row],[Operating_Inflows]]-Table7[[#This Row],[Operating_Outflows]]-Table7[[#This Row],[Investing_Outflows]]</f>
        <v>-160.9</v>
      </c>
      <c r="K8" s="10">
        <f>Table7[[#This Row],[FCF]]/Table7[[#This Row],[EBITDA/EBIT_PROXY]]</f>
        <v>-1.8818713450292399</v>
      </c>
      <c r="L8" s="10">
        <f>Table7[[#This Row],[forecast_closing]]/(Table7[[#This Row],[Operating_Outflows]]/12)</f>
        <v>21.653052972098649</v>
      </c>
      <c r="M8" s="10">
        <f>Table7[[#This Row],[EBITDA/EBIT_PROXY]]/Table7[[#This Row],[INTEREST PROXY]]</f>
        <v>1.8554687499999998</v>
      </c>
      <c r="N8" s="22">
        <f>Table7[[#This Row],[EBITDA/EBIT_PROXY]]/Table7[[#This Row],[Operating_Inflows]]</f>
        <v>0.10333575054387237</v>
      </c>
      <c r="O8" s="10">
        <f>Table7[[#This Row],[Operating_Inflows]]-Table7[[#This Row],[Operating_Outflows]]</f>
        <v>85.5</v>
      </c>
      <c r="P8" s="10">
        <f>0.4*Table7[[#This Row],[Financing_Outflows]]</f>
        <v>46.080000000000005</v>
      </c>
    </row>
    <row r="9" spans="1:16" x14ac:dyDescent="0.2">
      <c r="A9" s="8">
        <v>45870</v>
      </c>
      <c r="B9" s="23">
        <v>787</v>
      </c>
      <c r="C9" s="23">
        <v>728.9</v>
      </c>
      <c r="D9" s="23">
        <v>300.2</v>
      </c>
      <c r="E9" s="23">
        <v>129.1</v>
      </c>
      <c r="F9" s="23">
        <v>127.5</v>
      </c>
      <c r="G9" s="10">
        <f>Table7[[#This Row],[Operating_Inflows]]-Table7[[#This Row],[Operating_Outflows]]-Table7[[#This Row],[Investing_Outflows]]+Table7[[#This Row],[Financing_Inflows]]-Table7[[#This Row],[Financing_Outflows]]</f>
        <v>-240.49999999999997</v>
      </c>
      <c r="H9" s="10">
        <v>1338.6999999999989</v>
      </c>
      <c r="I9" s="10">
        <v>1098.1999999999989</v>
      </c>
      <c r="J9" s="10">
        <f>Table7[[#This Row],[Operating_Inflows]]-Table7[[#This Row],[Operating_Outflows]]-Table7[[#This Row],[Investing_Outflows]]</f>
        <v>-242.09999999999997</v>
      </c>
      <c r="K9" s="10">
        <f>Table7[[#This Row],[FCF]]/Table7[[#This Row],[EBITDA/EBIT_PROXY]]</f>
        <v>-4.1669535283993095</v>
      </c>
      <c r="L9" s="10">
        <f>Table7[[#This Row],[forecast_closing]]/(Table7[[#This Row],[Operating_Outflows]]/12)</f>
        <v>18.079846343805716</v>
      </c>
      <c r="M9" s="10">
        <f>Table7[[#This Row],[EBITDA/EBIT_PROXY]]/Table7[[#This Row],[INTEREST PROXY]]</f>
        <v>1.1392156862745102</v>
      </c>
      <c r="N9" s="22">
        <f>Table7[[#This Row],[EBITDA/EBIT_PROXY]]/Table7[[#This Row],[Operating_Inflows]]</f>
        <v>7.3824650571791647E-2</v>
      </c>
      <c r="O9" s="10">
        <f>Table7[[#This Row],[Operating_Inflows]]-Table7[[#This Row],[Operating_Outflows]]</f>
        <v>58.100000000000023</v>
      </c>
      <c r="P9" s="10">
        <f>0.4*Table7[[#This Row],[Financing_Outflows]]</f>
        <v>51</v>
      </c>
    </row>
    <row r="10" spans="1:16" x14ac:dyDescent="0.2">
      <c r="A10" s="7">
        <v>45901</v>
      </c>
      <c r="B10" s="21">
        <v>1017.3</v>
      </c>
      <c r="C10" s="21">
        <v>646.5</v>
      </c>
      <c r="D10" s="21">
        <v>268.10000000000002</v>
      </c>
      <c r="E10" s="21">
        <v>78.900000000000006</v>
      </c>
      <c r="F10" s="21">
        <v>119.1</v>
      </c>
      <c r="G10" s="10">
        <f>Table7[[#This Row],[Operating_Inflows]]-Table7[[#This Row],[Operating_Outflows]]-Table7[[#This Row],[Investing_Outflows]]+Table7[[#This Row],[Financing_Inflows]]-Table7[[#This Row],[Financing_Outflows]]</f>
        <v>62.499999999999943</v>
      </c>
      <c r="H10" s="10">
        <v>1098.1999999999989</v>
      </c>
      <c r="I10" s="10">
        <v>1160.6999999999989</v>
      </c>
      <c r="J10" s="10">
        <f>Table7[[#This Row],[Operating_Inflows]]-Table7[[#This Row],[Operating_Outflows]]-Table7[[#This Row],[Investing_Outflows]]</f>
        <v>102.69999999999993</v>
      </c>
      <c r="K10" s="10">
        <f>Table7[[#This Row],[FCF]]/Table7[[#This Row],[EBITDA/EBIT_PROXY]]</f>
        <v>0.27696871628910447</v>
      </c>
      <c r="L10" s="10">
        <f>Table7[[#This Row],[forecast_closing]]/(Table7[[#This Row],[Operating_Outflows]]/12)</f>
        <v>21.544315545243599</v>
      </c>
      <c r="M10" s="10">
        <f>Table7[[#This Row],[EBITDA/EBIT_PROXY]]/Table7[[#This Row],[INTEREST PROXY]]</f>
        <v>7.7833753148614599</v>
      </c>
      <c r="N10" s="22">
        <f>Table7[[#This Row],[EBITDA/EBIT_PROXY]]/Table7[[#This Row],[Operating_Inflows]]</f>
        <v>0.364494249483928</v>
      </c>
      <c r="O10" s="10">
        <f>Table7[[#This Row],[Operating_Inflows]]-Table7[[#This Row],[Operating_Outflows]]</f>
        <v>370.79999999999995</v>
      </c>
      <c r="P10" s="10">
        <f>0.4*Table7[[#This Row],[Financing_Outflows]]</f>
        <v>47.64</v>
      </c>
    </row>
    <row r="11" spans="1:16" x14ac:dyDescent="0.2">
      <c r="A11" s="8">
        <v>45931</v>
      </c>
      <c r="B11" s="23">
        <v>881.9</v>
      </c>
      <c r="C11" s="23">
        <v>699.6</v>
      </c>
      <c r="D11" s="23">
        <v>217.7</v>
      </c>
      <c r="E11" s="23">
        <v>90.2</v>
      </c>
      <c r="F11" s="23">
        <v>90.8</v>
      </c>
      <c r="G11" s="10">
        <f>Table7[[#This Row],[Operating_Inflows]]-Table7[[#This Row],[Operating_Outflows]]-Table7[[#This Row],[Investing_Outflows]]+Table7[[#This Row],[Financing_Inflows]]-Table7[[#This Row],[Financing_Outflows]]</f>
        <v>-36.000000000000028</v>
      </c>
      <c r="H11" s="10">
        <v>1160.6999999999989</v>
      </c>
      <c r="I11" s="10">
        <v>1124.6999999999989</v>
      </c>
      <c r="J11" s="10">
        <f>Table7[[#This Row],[Operating_Inflows]]-Table7[[#This Row],[Operating_Outflows]]-Table7[[#This Row],[Investing_Outflows]]</f>
        <v>-35.400000000000034</v>
      </c>
      <c r="K11" s="10">
        <f>Table7[[#This Row],[FCF]]/Table7[[#This Row],[EBITDA/EBIT_PROXY]]</f>
        <v>-0.1941854086670326</v>
      </c>
      <c r="L11" s="10">
        <f>Table7[[#This Row],[forecast_closing]]/(Table7[[#This Row],[Operating_Outflows]]/12)</f>
        <v>19.291595197255553</v>
      </c>
      <c r="M11" s="10">
        <f>Table7[[#This Row],[EBITDA/EBIT_PROXY]]/Table7[[#This Row],[INTEREST PROXY]]</f>
        <v>5.0192731277533023</v>
      </c>
      <c r="N11" s="22">
        <f>Table7[[#This Row],[EBITDA/EBIT_PROXY]]/Table7[[#This Row],[Operating_Inflows]]</f>
        <v>0.20671277922666964</v>
      </c>
      <c r="O11" s="10">
        <f>Table7[[#This Row],[Operating_Inflows]]-Table7[[#This Row],[Operating_Outflows]]</f>
        <v>182.29999999999995</v>
      </c>
      <c r="P11" s="10">
        <f>0.4*Table7[[#This Row],[Financing_Outflows]]</f>
        <v>36.32</v>
      </c>
    </row>
    <row r="12" spans="1:16" x14ac:dyDescent="0.2">
      <c r="A12" s="7">
        <v>45962</v>
      </c>
      <c r="B12" s="21">
        <v>905.4</v>
      </c>
      <c r="C12" s="21">
        <v>717.8</v>
      </c>
      <c r="D12" s="21">
        <v>268.10000000000002</v>
      </c>
      <c r="E12" s="21">
        <v>88.2</v>
      </c>
      <c r="F12" s="21">
        <v>148.6</v>
      </c>
      <c r="G12" s="10">
        <f>Table7[[#This Row],[Operating_Inflows]]-Table7[[#This Row],[Operating_Outflows]]-Table7[[#This Row],[Investing_Outflows]]+Table7[[#This Row],[Financing_Inflows]]-Table7[[#This Row],[Financing_Outflows]]</f>
        <v>-140.89999999999998</v>
      </c>
      <c r="H12" s="10">
        <v>1124.6999999999989</v>
      </c>
      <c r="I12" s="10">
        <v>983.79999999999939</v>
      </c>
      <c r="J12" s="10">
        <f>Table7[[#This Row],[Operating_Inflows]]-Table7[[#This Row],[Operating_Outflows]]-Table7[[#This Row],[Investing_Outflows]]</f>
        <v>-80.5</v>
      </c>
      <c r="K12" s="10">
        <f>Table7[[#This Row],[FCF]]/Table7[[#This Row],[EBITDA/EBIT_PROXY]]</f>
        <v>-0.42910447761194026</v>
      </c>
      <c r="L12" s="10">
        <f>Table7[[#This Row],[forecast_closing]]/(Table7[[#This Row],[Operating_Outflows]]/12)</f>
        <v>16.446921147952068</v>
      </c>
      <c r="M12" s="10">
        <f>Table7[[#This Row],[EBITDA/EBIT_PROXY]]/Table7[[#This Row],[INTEREST PROXY]]</f>
        <v>3.1561238223418577</v>
      </c>
      <c r="N12" s="22">
        <f>Table7[[#This Row],[EBITDA/EBIT_PROXY]]/Table7[[#This Row],[Operating_Inflows]]</f>
        <v>0.20720123702231061</v>
      </c>
      <c r="O12" s="10">
        <f>Table7[[#This Row],[Operating_Inflows]]-Table7[[#This Row],[Operating_Outflows]]</f>
        <v>187.60000000000002</v>
      </c>
      <c r="P12" s="10">
        <f>0.4*Table7[[#This Row],[Financing_Outflows]]</f>
        <v>59.44</v>
      </c>
    </row>
    <row r="13" spans="1:16" x14ac:dyDescent="0.2">
      <c r="A13" s="9">
        <v>45992</v>
      </c>
      <c r="B13" s="12">
        <v>993</v>
      </c>
      <c r="C13" s="12">
        <v>824</v>
      </c>
      <c r="D13" s="12">
        <v>326.89999999999998</v>
      </c>
      <c r="E13" s="12">
        <v>56.1</v>
      </c>
      <c r="F13" s="12">
        <v>138.80000000000001</v>
      </c>
      <c r="G13" s="10">
        <f>Table7[[#This Row],[Operating_Inflows]]-Table7[[#This Row],[Operating_Outflows]]-Table7[[#This Row],[Investing_Outflows]]+Table7[[#This Row],[Financing_Inflows]]-Table7[[#This Row],[Financing_Outflows]]</f>
        <v>-240.6</v>
      </c>
      <c r="H13" s="10">
        <v>983.79999999999939</v>
      </c>
      <c r="I13" s="10">
        <v>536.19999999999936</v>
      </c>
      <c r="J13" s="10">
        <f>Table7[[#This Row],[Operating_Inflows]]-Table7[[#This Row],[Operating_Outflows]]-Table7[[#This Row],[Investing_Outflows]]</f>
        <v>-157.89999999999998</v>
      </c>
      <c r="K13" s="10">
        <f>Table7[[#This Row],[FCF]]/Table7[[#This Row],[EBITDA/EBIT_PROXY]]</f>
        <v>-0.93431952662721884</v>
      </c>
      <c r="L13" s="10">
        <f>Table7[[#This Row],[forecast_closing]]/(Table7[[#This Row],[Operating_Outflows]]/12)</f>
        <v>7.8087378640776599</v>
      </c>
      <c r="M13" s="10">
        <f>Table7[[#This Row],[EBITDA/EBIT_PROXY]]/Table7[[#This Row],[INTEREST PROXY]]</f>
        <v>3.0439481268011521</v>
      </c>
      <c r="N13" s="22">
        <f>Table7[[#This Row],[EBITDA/EBIT_PROXY]]/Table7[[#This Row],[Operating_Inflows]]</f>
        <v>0.17019133937562941</v>
      </c>
      <c r="O13" s="10">
        <f>Table7[[#This Row],[Operating_Inflows]]-Table7[[#This Row],[Operating_Outflows]]</f>
        <v>169</v>
      </c>
      <c r="P13" s="10">
        <f>0.4*Table7[[#This Row],[Financing_Outflows]]</f>
        <v>55.52000000000001</v>
      </c>
    </row>
    <row r="14" spans="1:16" x14ac:dyDescent="0.2">
      <c r="A14" s="7">
        <v>46023</v>
      </c>
      <c r="B14" s="10">
        <f>B13*(1+Controls!$C$6/100)</f>
        <v>1022.7900000000001</v>
      </c>
      <c r="C14" s="10">
        <f>C13*(1+Controls!$C$7/100)</f>
        <v>844.59999999999991</v>
      </c>
      <c r="D14" s="10">
        <f>Controls!$C$9/12</f>
        <v>133.33333333333334</v>
      </c>
      <c r="E14" s="21">
        <v>75.7</v>
      </c>
      <c r="F14" s="21">
        <v>126.4</v>
      </c>
      <c r="G14" s="10">
        <f>Table7[[#This Row],[Operating_Inflows]]-Table7[[#This Row],[Operating_Outflows]]-Table7[[#This Row],[Investing_Outflows]]+Table7[[#This Row],[Financing_Inflows]]-Table7[[#This Row],[Financing_Outflows]]</f>
        <v>-5.8433333333331774</v>
      </c>
      <c r="H14" s="10">
        <f>I13</f>
        <v>536.19999999999936</v>
      </c>
      <c r="I14" s="10">
        <f>Table7[[#This Row],[forecast_opening]]+Table7[[#This Row],[forecast_net]]</f>
        <v>530.35666666666623</v>
      </c>
      <c r="J14" s="10">
        <f>Table7[[#This Row],[Operating_Inflows]]-Table7[[#This Row],[Operating_Outflows]]-Table7[[#This Row],[Investing_Outflows]]</f>
        <v>44.856666666666825</v>
      </c>
      <c r="K14" s="10">
        <f>Table7[[#This Row],[FCF]]/Table7[[#This Row],[EBITDA/EBIT_PROXY]]</f>
        <v>0.25173503937744418</v>
      </c>
      <c r="L14" s="10">
        <f>Table7[[#This Row],[forecast_closing]]/(Table7[[#This Row],[Operating_Outflows]]/12)</f>
        <v>7.535259294340511</v>
      </c>
      <c r="M14" s="10">
        <f>Table7[[#This Row],[EBITDA/EBIT_PROXY]]/Table7[[#This Row],[INTEREST PROXY]]</f>
        <v>3.5243275316455729</v>
      </c>
      <c r="N14" s="22">
        <f>Table7[[#This Row],[EBITDA/EBIT_PROXY]]/Table7[[#This Row],[Operating_Inflows]]</f>
        <v>0.17421953675730126</v>
      </c>
      <c r="O14" s="10">
        <f>Table7[[#This Row],[Operating_Inflows]]-Table7[[#This Row],[Operating_Outflows]]</f>
        <v>178.19000000000017</v>
      </c>
      <c r="P14" s="10">
        <f>0.4*Table7[[#This Row],[Financing_Outflows]]</f>
        <v>50.56</v>
      </c>
    </row>
    <row r="15" spans="1:16" x14ac:dyDescent="0.2">
      <c r="A15" s="8">
        <v>46054</v>
      </c>
      <c r="B15" s="10">
        <f>B14*(1+Controls!$C$6/100)</f>
        <v>1053.4737</v>
      </c>
      <c r="C15" s="10">
        <f>C14*(1+Controls!$C$7/100)</f>
        <v>865.7149999999998</v>
      </c>
      <c r="D15" s="10">
        <f>Controls!$C$9/12</f>
        <v>133.33333333333334</v>
      </c>
      <c r="E15" s="23">
        <v>84.9</v>
      </c>
      <c r="F15" s="23">
        <v>118.1</v>
      </c>
      <c r="G15" s="10">
        <f>Table7[[#This Row],[Operating_Inflows]]-Table7[[#This Row],[Operating_Outflows]]-Table7[[#This Row],[Investing_Outflows]]+Table7[[#This Row],[Financing_Inflows]]-Table7[[#This Row],[Financing_Outflows]]</f>
        <v>21.225366666666872</v>
      </c>
      <c r="H15" s="10">
        <f t="shared" ref="H15:H25" si="0">I14</f>
        <v>530.35666666666623</v>
      </c>
      <c r="I15" s="10">
        <f>Table7[[#This Row],[forecast_opening]]+Table7[[#This Row],[forecast_net]]</f>
        <v>551.58203333333313</v>
      </c>
      <c r="J15" s="10">
        <f>Table7[[#This Row],[Operating_Inflows]]-Table7[[#This Row],[Operating_Outflows]]-Table7[[#This Row],[Investing_Outflows]]</f>
        <v>54.425366666666861</v>
      </c>
      <c r="K15" s="10">
        <f>Table7[[#This Row],[FCF]]/Table7[[#This Row],[EBITDA/EBIT_PROXY]]</f>
        <v>0.28986868074111505</v>
      </c>
      <c r="L15" s="10">
        <f>Table7[[#This Row],[forecast_closing]]/(Table7[[#This Row],[Operating_Outflows]]/12)</f>
        <v>7.6456852428339568</v>
      </c>
      <c r="M15" s="10">
        <f>Table7[[#This Row],[EBITDA/EBIT_PROXY]]/Table7[[#This Row],[INTEREST PROXY]]</f>
        <v>3.974570279424221</v>
      </c>
      <c r="N15" s="22">
        <f>Table7[[#This Row],[EBITDA/EBIT_PROXY]]/Table7[[#This Row],[Operating_Inflows]]</f>
        <v>0.17822817978275129</v>
      </c>
      <c r="O15" s="10">
        <f>Table7[[#This Row],[Operating_Inflows]]-Table7[[#This Row],[Operating_Outflows]]</f>
        <v>187.7587000000002</v>
      </c>
      <c r="P15" s="10">
        <f>0.4*Table7[[#This Row],[Financing_Outflows]]</f>
        <v>47.24</v>
      </c>
    </row>
    <row r="16" spans="1:16" x14ac:dyDescent="0.2">
      <c r="A16" s="7">
        <v>46082</v>
      </c>
      <c r="B16" s="10">
        <f>B15*(1+Controls!$C$6/100)</f>
        <v>1085.0779110000001</v>
      </c>
      <c r="C16" s="10">
        <f>C15*(1+Controls!$C$7/100)</f>
        <v>887.35787499999969</v>
      </c>
      <c r="D16" s="10">
        <f>Controls!$C$9/12</f>
        <v>133.33333333333334</v>
      </c>
      <c r="E16" s="21">
        <v>127.5</v>
      </c>
      <c r="F16" s="21">
        <v>72</v>
      </c>
      <c r="G16" s="10">
        <f>Table7[[#This Row],[Operating_Inflows]]-Table7[[#This Row],[Operating_Outflows]]-Table7[[#This Row],[Investing_Outflows]]+Table7[[#This Row],[Financing_Inflows]]-Table7[[#This Row],[Financing_Outflows]]</f>
        <v>119.88670266666705</v>
      </c>
      <c r="H16" s="10">
        <f t="shared" si="0"/>
        <v>551.58203333333313</v>
      </c>
      <c r="I16" s="10">
        <f>Table7[[#This Row],[forecast_opening]]+Table7[[#This Row],[forecast_net]]</f>
        <v>671.46873600000015</v>
      </c>
      <c r="J16" s="10">
        <f>Table7[[#This Row],[Operating_Inflows]]-Table7[[#This Row],[Operating_Outflows]]-Table7[[#This Row],[Investing_Outflows]]</f>
        <v>64.386702666667048</v>
      </c>
      <c r="K16" s="10">
        <f>Table7[[#This Row],[FCF]]/Table7[[#This Row],[EBITDA/EBIT_PROXY]]</f>
        <v>0.32564581703124373</v>
      </c>
      <c r="L16" s="10">
        <f>Table7[[#This Row],[forecast_closing]]/(Table7[[#This Row],[Operating_Outflows]]/12)</f>
        <v>9.0804680490382808</v>
      </c>
      <c r="M16" s="10">
        <f>Table7[[#This Row],[EBITDA/EBIT_PROXY]]/Table7[[#This Row],[INTEREST PROXY]]</f>
        <v>6.8652790277777909</v>
      </c>
      <c r="N16" s="22">
        <f>Table7[[#This Row],[EBITDA/EBIT_PROXY]]/Table7[[#This Row],[Operating_Inflows]]</f>
        <v>0.18221736337603905</v>
      </c>
      <c r="O16" s="10">
        <f>Table7[[#This Row],[Operating_Inflows]]-Table7[[#This Row],[Operating_Outflows]]</f>
        <v>197.72003600000039</v>
      </c>
      <c r="P16" s="10">
        <f>0.4*Table7[[#This Row],[Financing_Outflows]]</f>
        <v>28.8</v>
      </c>
    </row>
    <row r="17" spans="1:16" x14ac:dyDescent="0.2">
      <c r="A17" s="8">
        <v>46113</v>
      </c>
      <c r="B17" s="10">
        <f>B16*(1+Controls!$C$6/100)</f>
        <v>1117.6302483300001</v>
      </c>
      <c r="C17" s="10">
        <f>C16*(1+Controls!$C$7/100)</f>
        <v>909.54182187499964</v>
      </c>
      <c r="D17" s="10">
        <f>Controls!$C$9/12</f>
        <v>133.33333333333334</v>
      </c>
      <c r="E17" s="23">
        <v>109.9</v>
      </c>
      <c r="F17" s="23">
        <v>119.3</v>
      </c>
      <c r="G17" s="10">
        <f>Table7[[#This Row],[Operating_Inflows]]-Table7[[#This Row],[Operating_Outflows]]-Table7[[#This Row],[Investing_Outflows]]+Table7[[#This Row],[Financing_Inflows]]-Table7[[#This Row],[Financing_Outflows]]</f>
        <v>65.35509312166711</v>
      </c>
      <c r="H17" s="10">
        <f t="shared" si="0"/>
        <v>671.46873600000015</v>
      </c>
      <c r="I17" s="10">
        <f>Table7[[#This Row],[forecast_opening]]+Table7[[#This Row],[forecast_net]]</f>
        <v>736.82382912166725</v>
      </c>
      <c r="J17" s="10">
        <f>Table7[[#This Row],[Operating_Inflows]]-Table7[[#This Row],[Operating_Outflows]]-Table7[[#This Row],[Investing_Outflows]]</f>
        <v>74.755093121667102</v>
      </c>
      <c r="K17" s="10">
        <f>Table7[[#This Row],[FCF]]/Table7[[#This Row],[EBITDA/EBIT_PROXY]]</f>
        <v>0.35924676059690924</v>
      </c>
      <c r="L17" s="10">
        <f>Table7[[#This Row],[forecast_closing]]/(Table7[[#This Row],[Operating_Outflows]]/12)</f>
        <v>9.7212527635427044</v>
      </c>
      <c r="M17" s="10">
        <f>Table7[[#This Row],[EBITDA/EBIT_PROXY]]/Table7[[#This Row],[INTEREST PROXY]]</f>
        <v>4.3606124571458604</v>
      </c>
      <c r="N17" s="22">
        <f>Table7[[#This Row],[EBITDA/EBIT_PROXY]]/Table7[[#This Row],[Operating_Inflows]]</f>
        <v>0.18618718200042728</v>
      </c>
      <c r="O17" s="10">
        <f>Table7[[#This Row],[Operating_Inflows]]-Table7[[#This Row],[Operating_Outflows]]</f>
        <v>208.08842645500044</v>
      </c>
      <c r="P17" s="10">
        <f>0.4*Table7[[#This Row],[Financing_Outflows]]</f>
        <v>47.72</v>
      </c>
    </row>
    <row r="18" spans="1:16" x14ac:dyDescent="0.2">
      <c r="A18" s="7">
        <v>46143</v>
      </c>
      <c r="B18" s="10">
        <f>B17*(1+Controls!$C$6/100)</f>
        <v>1151.1591557799002</v>
      </c>
      <c r="C18" s="10">
        <f>C17*(1+Controls!$C$7/100)</f>
        <v>932.28036742187453</v>
      </c>
      <c r="D18" s="10">
        <f>Controls!$C$9/12</f>
        <v>133.33333333333334</v>
      </c>
      <c r="E18" s="21">
        <v>84.1</v>
      </c>
      <c r="F18" s="21">
        <v>121.5</v>
      </c>
      <c r="G18" s="10">
        <f>Table7[[#This Row],[Operating_Inflows]]-Table7[[#This Row],[Operating_Outflows]]-Table7[[#This Row],[Investing_Outflows]]+Table7[[#This Row],[Financing_Inflows]]-Table7[[#This Row],[Financing_Outflows]]</f>
        <v>48.145455024692296</v>
      </c>
      <c r="H18" s="10">
        <f t="shared" si="0"/>
        <v>736.82382912166725</v>
      </c>
      <c r="I18" s="10">
        <f>Table7[[#This Row],[forecast_opening]]+Table7[[#This Row],[forecast_net]]</f>
        <v>784.96928414635954</v>
      </c>
      <c r="J18" s="10">
        <f>Table7[[#This Row],[Operating_Inflows]]-Table7[[#This Row],[Operating_Outflows]]-Table7[[#This Row],[Investing_Outflows]]</f>
        <v>85.545455024692302</v>
      </c>
      <c r="K18" s="10">
        <f>Table7[[#This Row],[FCF]]/Table7[[#This Row],[EBITDA/EBIT_PROXY]]</f>
        <v>0.39083483450558676</v>
      </c>
      <c r="L18" s="10">
        <f>Table7[[#This Row],[forecast_closing]]/(Table7[[#This Row],[Operating_Outflows]]/12)</f>
        <v>10.103861176231069</v>
      </c>
      <c r="M18" s="10">
        <f>Table7[[#This Row],[EBITDA/EBIT_PROXY]]/Table7[[#This Row],[INTEREST PROXY]]</f>
        <v>4.5036787727988816</v>
      </c>
      <c r="N18" s="22">
        <f>Table7[[#This Row],[EBITDA/EBIT_PROXY]]/Table7[[#This Row],[Operating_Inflows]]</f>
        <v>0.19013772966061951</v>
      </c>
      <c r="O18" s="10">
        <f>Table7[[#This Row],[Operating_Inflows]]-Table7[[#This Row],[Operating_Outflows]]</f>
        <v>218.87878835802564</v>
      </c>
      <c r="P18" s="10">
        <f>0.4*Table7[[#This Row],[Financing_Outflows]]</f>
        <v>48.6</v>
      </c>
    </row>
    <row r="19" spans="1:16" x14ac:dyDescent="0.2">
      <c r="A19" s="8">
        <v>46174</v>
      </c>
      <c r="B19" s="10">
        <f>B18*(1+Controls!$C$6/100)</f>
        <v>1185.6939304532973</v>
      </c>
      <c r="C19" s="10">
        <f>C18*(1+Controls!$C$7/100)</f>
        <v>955.58737660742133</v>
      </c>
      <c r="D19" s="10">
        <f>Controls!$C$9/12</f>
        <v>133.33333333333334</v>
      </c>
      <c r="E19" s="23">
        <v>115.4</v>
      </c>
      <c r="F19" s="23">
        <v>181.6</v>
      </c>
      <c r="G19" s="10">
        <f>Table7[[#This Row],[Operating_Inflows]]-Table7[[#This Row],[Operating_Outflows]]-Table7[[#This Row],[Investing_Outflows]]+Table7[[#This Row],[Financing_Inflows]]-Table7[[#This Row],[Financing_Outflows]]</f>
        <v>30.573220512542633</v>
      </c>
      <c r="H19" s="10">
        <f t="shared" si="0"/>
        <v>784.96928414635954</v>
      </c>
      <c r="I19" s="10">
        <f>Table7[[#This Row],[forecast_opening]]+Table7[[#This Row],[forecast_net]]</f>
        <v>815.5425046589022</v>
      </c>
      <c r="J19" s="10">
        <f>Table7[[#This Row],[Operating_Inflows]]-Table7[[#This Row],[Operating_Outflows]]-Table7[[#This Row],[Investing_Outflows]]</f>
        <v>96.773220512542622</v>
      </c>
      <c r="K19" s="10">
        <f>Table7[[#This Row],[FCF]]/Table7[[#This Row],[EBITDA/EBIT_PROXY]]</f>
        <v>0.42055829742841988</v>
      </c>
      <c r="L19" s="10">
        <f>Table7[[#This Row],[forecast_closing]]/(Table7[[#This Row],[Operating_Outflows]]/12)</f>
        <v>10.241355521722598</v>
      </c>
      <c r="M19" s="10">
        <f>Table7[[#This Row],[EBITDA/EBIT_PROXY]]/Table7[[#This Row],[INTEREST PROXY]]</f>
        <v>3.167766435102918</v>
      </c>
      <c r="N19" s="22">
        <f>Table7[[#This Row],[EBITDA/EBIT_PROXY]]/Table7[[#This Row],[Operating_Inflows]]</f>
        <v>0.19406909990498558</v>
      </c>
      <c r="O19" s="10">
        <f>Table7[[#This Row],[Operating_Inflows]]-Table7[[#This Row],[Operating_Outflows]]</f>
        <v>230.10655384587596</v>
      </c>
      <c r="P19" s="10">
        <f>0.4*Table7[[#This Row],[Financing_Outflows]]</f>
        <v>72.64</v>
      </c>
    </row>
    <row r="20" spans="1:16" x14ac:dyDescent="0.2">
      <c r="A20" s="7">
        <v>46204</v>
      </c>
      <c r="B20" s="10">
        <f>B19*(1+Controls!$C$6/100)</f>
        <v>1221.2647483668964</v>
      </c>
      <c r="C20" s="10">
        <f>C19*(1+Controls!$C$7/100)</f>
        <v>979.47706102260679</v>
      </c>
      <c r="D20" s="10">
        <f>Controls!$C$9/12</f>
        <v>133.33333333333334</v>
      </c>
      <c r="E20" s="21">
        <v>102.9</v>
      </c>
      <c r="F20" s="21">
        <v>115.2</v>
      </c>
      <c r="G20" s="10">
        <f>Table7[[#This Row],[Operating_Inflows]]-Table7[[#This Row],[Operating_Outflows]]-Table7[[#This Row],[Investing_Outflows]]+Table7[[#This Row],[Financing_Inflows]]-Table7[[#This Row],[Financing_Outflows]]</f>
        <v>96.154354010956226</v>
      </c>
      <c r="H20" s="10">
        <f t="shared" si="0"/>
        <v>815.5425046589022</v>
      </c>
      <c r="I20" s="10">
        <f>Table7[[#This Row],[forecast_opening]]+Table7[[#This Row],[forecast_net]]</f>
        <v>911.69685866985844</v>
      </c>
      <c r="J20" s="10">
        <f>Table7[[#This Row],[Operating_Inflows]]-Table7[[#This Row],[Operating_Outflows]]-Table7[[#This Row],[Investing_Outflows]]</f>
        <v>108.45435401095622</v>
      </c>
      <c r="K20" s="10">
        <f>Table7[[#This Row],[FCF]]/Table7[[#This Row],[EBITDA/EBIT_PROXY]]</f>
        <v>0.44855201355445551</v>
      </c>
      <c r="L20" s="10">
        <f>Table7[[#This Row],[forecast_closing]]/(Table7[[#This Row],[Operating_Outflows]]/12)</f>
        <v>11.169595225248253</v>
      </c>
      <c r="M20" s="10">
        <f>Table7[[#This Row],[EBITDA/EBIT_PROXY]]/Table7[[#This Row],[INTEREST PROXY]]</f>
        <v>5.2471286316035055</v>
      </c>
      <c r="N20" s="22">
        <f>Table7[[#This Row],[EBITDA/EBIT_PROXY]]/Table7[[#This Row],[Operating_Inflows]]</f>
        <v>0.19798138582777705</v>
      </c>
      <c r="O20" s="10">
        <f>Table7[[#This Row],[Operating_Inflows]]-Table7[[#This Row],[Operating_Outflows]]</f>
        <v>241.78768734428957</v>
      </c>
      <c r="P20" s="10">
        <f>0.4*Table7[[#This Row],[Financing_Outflows]]</f>
        <v>46.080000000000005</v>
      </c>
    </row>
    <row r="21" spans="1:16" x14ac:dyDescent="0.2">
      <c r="A21" s="8">
        <v>46235</v>
      </c>
      <c r="B21" s="10">
        <f>B20*(1+Controls!$C$6/100)</f>
        <v>1257.9026908179032</v>
      </c>
      <c r="C21" s="10">
        <f>C20*(1+Controls!$C$7/100)</f>
        <v>1003.9639875481719</v>
      </c>
      <c r="D21" s="10">
        <f>Controls!$C$9/12</f>
        <v>133.33333333333334</v>
      </c>
      <c r="E21" s="23">
        <v>129.1</v>
      </c>
      <c r="F21" s="23">
        <v>127.5</v>
      </c>
      <c r="G21" s="10">
        <f>Table7[[#This Row],[Operating_Inflows]]-Table7[[#This Row],[Operating_Outflows]]-Table7[[#This Row],[Investing_Outflows]]+Table7[[#This Row],[Financing_Inflows]]-Table7[[#This Row],[Financing_Outflows]]</f>
        <v>122.20536993639803</v>
      </c>
      <c r="H21" s="10">
        <f t="shared" si="0"/>
        <v>911.69685866985844</v>
      </c>
      <c r="I21" s="10">
        <f>Table7[[#This Row],[forecast_opening]]+Table7[[#This Row],[forecast_net]]</f>
        <v>1033.9022286062564</v>
      </c>
      <c r="J21" s="10">
        <f>Table7[[#This Row],[Operating_Inflows]]-Table7[[#This Row],[Operating_Outflows]]-Table7[[#This Row],[Investing_Outflows]]</f>
        <v>120.60536993639803</v>
      </c>
      <c r="K21" s="10">
        <f>Table7[[#This Row],[FCF]]/Table7[[#This Row],[EBITDA/EBIT_PROXY]]</f>
        <v>0.47493890605675854</v>
      </c>
      <c r="L21" s="10">
        <f>Table7[[#This Row],[forecast_closing]]/(Table7[[#This Row],[Operating_Outflows]]/12)</f>
        <v>12.357840417736872</v>
      </c>
      <c r="M21" s="10">
        <f>Table7[[#This Row],[EBITDA/EBIT_PROXY]]/Table7[[#This Row],[INTEREST PROXY]]</f>
        <v>4.9791902601908111</v>
      </c>
      <c r="N21" s="22">
        <f>Table7[[#This Row],[EBITDA/EBIT_PROXY]]/Table7[[#This Row],[Operating_Inflows]]</f>
        <v>0.20187468007133161</v>
      </c>
      <c r="O21" s="10">
        <f>Table7[[#This Row],[Operating_Inflows]]-Table7[[#This Row],[Operating_Outflows]]</f>
        <v>253.93870326973138</v>
      </c>
      <c r="P21" s="10">
        <f>0.4*Table7[[#This Row],[Financing_Outflows]]</f>
        <v>51</v>
      </c>
    </row>
    <row r="22" spans="1:16" x14ac:dyDescent="0.2">
      <c r="A22" s="7">
        <v>46266</v>
      </c>
      <c r="B22" s="10">
        <f>B21*(1+Controls!$C$6/100)</f>
        <v>1295.6397715424405</v>
      </c>
      <c r="C22" s="10">
        <f>C21*(1+Controls!$C$7/100)</f>
        <v>1029.0630872368761</v>
      </c>
      <c r="D22" s="10">
        <f>Controls!$C$9/12</f>
        <v>133.33333333333334</v>
      </c>
      <c r="E22" s="21">
        <v>78.900000000000006</v>
      </c>
      <c r="F22" s="21">
        <v>119.1</v>
      </c>
      <c r="G22" s="10">
        <f>Table7[[#This Row],[Operating_Inflows]]-Table7[[#This Row],[Operating_Outflows]]-Table7[[#This Row],[Investing_Outflows]]+Table7[[#This Row],[Financing_Inflows]]-Table7[[#This Row],[Financing_Outflows]]</f>
        <v>93.043350972231082</v>
      </c>
      <c r="H22" s="10">
        <f t="shared" si="0"/>
        <v>1033.9022286062564</v>
      </c>
      <c r="I22" s="10">
        <f>Table7[[#This Row],[forecast_opening]]+Table7[[#This Row],[forecast_net]]</f>
        <v>1126.9455795784875</v>
      </c>
      <c r="J22" s="10">
        <f>Table7[[#This Row],[Operating_Inflows]]-Table7[[#This Row],[Operating_Outflows]]-Table7[[#This Row],[Investing_Outflows]]</f>
        <v>133.24335097223107</v>
      </c>
      <c r="K22" s="10">
        <f>Table7[[#This Row],[FCF]]/Table7[[#This Row],[EBITDA/EBIT_PROXY]]</f>
        <v>0.49983122612291342</v>
      </c>
      <c r="L22" s="10">
        <f>Table7[[#This Row],[forecast_closing]]/(Table7[[#This Row],[Operating_Outflows]]/12)</f>
        <v>13.141416811726494</v>
      </c>
      <c r="M22" s="10">
        <f>Table7[[#This Row],[EBITDA/EBIT_PROXY]]/Table7[[#This Row],[INTEREST PROXY]]</f>
        <v>5.5956482851713769</v>
      </c>
      <c r="N22" s="22">
        <f>Table7[[#This Row],[EBITDA/EBIT_PROXY]]/Table7[[#This Row],[Operating_Inflows]]</f>
        <v>0.20574907482826704</v>
      </c>
      <c r="O22" s="10">
        <f>Table7[[#This Row],[Operating_Inflows]]-Table7[[#This Row],[Operating_Outflows]]</f>
        <v>266.57668430556441</v>
      </c>
      <c r="P22" s="10">
        <f>0.4*Table7[[#This Row],[Financing_Outflows]]</f>
        <v>47.64</v>
      </c>
    </row>
    <row r="23" spans="1:16" x14ac:dyDescent="0.2">
      <c r="A23" s="8">
        <v>46296</v>
      </c>
      <c r="B23" s="10">
        <f>B22*(1+Controls!$C$6/100)</f>
        <v>1334.5089646887138</v>
      </c>
      <c r="C23" s="10">
        <f>C22*(1+Controls!$C$7/100)</f>
        <v>1054.7896644177979</v>
      </c>
      <c r="D23" s="10">
        <f>Controls!$C$9/12</f>
        <v>133.33333333333334</v>
      </c>
      <c r="E23" s="23">
        <v>90.2</v>
      </c>
      <c r="F23" s="23">
        <v>90.8</v>
      </c>
      <c r="G23" s="10">
        <f>Table7[[#This Row],[Operating_Inflows]]-Table7[[#This Row],[Operating_Outflows]]-Table7[[#This Row],[Investing_Outflows]]+Table7[[#This Row],[Financing_Inflows]]-Table7[[#This Row],[Financing_Outflows]]</f>
        <v>145.7859669375826</v>
      </c>
      <c r="H23" s="10">
        <f t="shared" si="0"/>
        <v>1126.9455795784875</v>
      </c>
      <c r="I23" s="10">
        <f>Table7[[#This Row],[forecast_opening]]+Table7[[#This Row],[forecast_net]]</f>
        <v>1272.73154651607</v>
      </c>
      <c r="J23" s="10">
        <f>Table7[[#This Row],[Operating_Inflows]]-Table7[[#This Row],[Operating_Outflows]]-Table7[[#This Row],[Investing_Outflows]]</f>
        <v>146.38596693758259</v>
      </c>
      <c r="K23" s="10">
        <f>Table7[[#This Row],[FCF]]/Table7[[#This Row],[EBITDA/EBIT_PROXY]]</f>
        <v>0.52333166426415234</v>
      </c>
      <c r="L23" s="10">
        <f>Table7[[#This Row],[forecast_closing]]/(Table7[[#This Row],[Operating_Outflows]]/12)</f>
        <v>14.479454125693211</v>
      </c>
      <c r="M23" s="10">
        <f>Table7[[#This Row],[EBITDA/EBIT_PROXY]]/Table7[[#This Row],[INTEREST PROXY]]</f>
        <v>7.7015225845516504</v>
      </c>
      <c r="N23" s="22">
        <f>Table7[[#This Row],[EBITDA/EBIT_PROXY]]/Table7[[#This Row],[Operating_Inflows]]</f>
        <v>0.20960466184366394</v>
      </c>
      <c r="O23" s="10">
        <f>Table7[[#This Row],[Operating_Inflows]]-Table7[[#This Row],[Operating_Outflows]]</f>
        <v>279.71930027091594</v>
      </c>
      <c r="P23" s="10">
        <f>0.4*Table7[[#This Row],[Financing_Outflows]]</f>
        <v>36.32</v>
      </c>
    </row>
    <row r="24" spans="1:16" x14ac:dyDescent="0.2">
      <c r="A24" s="7">
        <v>46327</v>
      </c>
      <c r="B24" s="10">
        <f>B23*(1+Controls!$C$6/100)</f>
        <v>1374.5442336293752</v>
      </c>
      <c r="C24" s="10">
        <f>C23*(1+Controls!$C$7/100)</f>
        <v>1081.1594060282428</v>
      </c>
      <c r="D24" s="10">
        <f>Controls!$C$9/12</f>
        <v>133.33333333333334</v>
      </c>
      <c r="E24" s="21">
        <v>88.2</v>
      </c>
      <c r="F24" s="21">
        <v>148.6</v>
      </c>
      <c r="G24" s="10">
        <f>Table7[[#This Row],[Operating_Inflows]]-Table7[[#This Row],[Operating_Outflows]]-Table7[[#This Row],[Investing_Outflows]]+Table7[[#This Row],[Financing_Inflows]]-Table7[[#This Row],[Financing_Outflows]]</f>
        <v>99.651494267799109</v>
      </c>
      <c r="H24" s="10">
        <f t="shared" si="0"/>
        <v>1272.73154651607</v>
      </c>
      <c r="I24" s="10">
        <f>Table7[[#This Row],[forecast_opening]]+Table7[[#This Row],[forecast_net]]</f>
        <v>1372.3830407838691</v>
      </c>
      <c r="J24" s="10">
        <f>Table7[[#This Row],[Operating_Inflows]]-Table7[[#This Row],[Operating_Outflows]]-Table7[[#This Row],[Investing_Outflows]]</f>
        <v>160.05149426779909</v>
      </c>
      <c r="K24" s="10">
        <f>Table7[[#This Row],[FCF]]/Table7[[#This Row],[EBITDA/EBIT_PROXY]]</f>
        <v>0.54553432628559451</v>
      </c>
      <c r="L24" s="10">
        <f>Table7[[#This Row],[forecast_closing]]/(Table7[[#This Row],[Operating_Outflows]]/12)</f>
        <v>15.232348160301003</v>
      </c>
      <c r="M24" s="10">
        <f>Table7[[#This Row],[EBITDA/EBIT_PROXY]]/Table7[[#This Row],[INTEREST PROXY]]</f>
        <v>4.9358147308400477</v>
      </c>
      <c r="N24" s="22">
        <f>Table7[[#This Row],[EBITDA/EBIT_PROXY]]/Table7[[#This Row],[Operating_Inflows]]</f>
        <v>0.21344153241723843</v>
      </c>
      <c r="O24" s="10">
        <f>Table7[[#This Row],[Operating_Inflows]]-Table7[[#This Row],[Operating_Outflows]]</f>
        <v>293.38482760113243</v>
      </c>
      <c r="P24" s="10">
        <f>0.4*Table7[[#This Row],[Financing_Outflows]]</f>
        <v>59.44</v>
      </c>
    </row>
    <row r="25" spans="1:16" x14ac:dyDescent="0.2">
      <c r="A25" s="9">
        <v>46357</v>
      </c>
      <c r="B25" s="10">
        <f>B24*(1+Controls!$C$6/100)</f>
        <v>1415.7805606382565</v>
      </c>
      <c r="C25" s="10">
        <f>C24*(1+Controls!$C$7/100)</f>
        <v>1108.1883911789487</v>
      </c>
      <c r="D25" s="10">
        <f>Controls!$C$9/12</f>
        <v>133.33333333333334</v>
      </c>
      <c r="E25" s="12">
        <v>56.1</v>
      </c>
      <c r="F25" s="12">
        <v>138.80000000000001</v>
      </c>
      <c r="G25" s="10">
        <f>Table7[[#This Row],[Operating_Inflows]]-Table7[[#This Row],[Operating_Outflows]]-Table7[[#This Row],[Investing_Outflows]]+Table7[[#This Row],[Financing_Inflows]]-Table7[[#This Row],[Financing_Outflows]]</f>
        <v>91.558836125974437</v>
      </c>
      <c r="H25" s="10">
        <f t="shared" si="0"/>
        <v>1372.3830407838691</v>
      </c>
      <c r="I25" s="10">
        <f>Table7[[#This Row],[forecast_opening]]+Table7[[#This Row],[forecast_net]]</f>
        <v>1463.9418769098436</v>
      </c>
      <c r="J25" s="10">
        <f>Table7[[#This Row],[Operating_Inflows]]-Table7[[#This Row],[Operating_Outflows]]-Table7[[#This Row],[Investing_Outflows]]</f>
        <v>174.25883612597445</v>
      </c>
      <c r="K25" s="10">
        <f>Table7[[#This Row],[FCF]]/Table7[[#This Row],[EBITDA/EBIT_PROXY]]</f>
        <v>0.56652559274278802</v>
      </c>
      <c r="L25" s="10">
        <f>Table7[[#This Row],[forecast_closing]]/(Table7[[#This Row],[Operating_Outflows]]/12)</f>
        <v>15.852270843794987</v>
      </c>
      <c r="M25" s="10">
        <f>Table7[[#This Row],[EBITDA/EBIT_PROXY]]/Table7[[#This Row],[INTEREST PROXY]]</f>
        <v>5.5402047813275894</v>
      </c>
      <c r="N25" s="22">
        <f>Table7[[#This Row],[EBITDA/EBIT_PROXY]]/Table7[[#This Row],[Operating_Inflows]]</f>
        <v>0.21725977740550437</v>
      </c>
      <c r="O25" s="10">
        <f>Table7[[#This Row],[Operating_Inflows]]-Table7[[#This Row],[Operating_Outflows]]</f>
        <v>307.5921694593078</v>
      </c>
      <c r="P25" s="10">
        <f>0.4*Table7[[#This Row],[Financing_Outflows]]</f>
        <v>55.52000000000001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README</vt:lpstr>
      <vt:lpstr>Transactions_Cashflows</vt:lpstr>
      <vt:lpstr>Balance_Components</vt:lpstr>
      <vt:lpstr>Scenarios_Forecast</vt:lpstr>
      <vt:lpstr>Controls</vt:lpstr>
      <vt:lpstr>Forecasts</vt:lpstr>
      <vt:lpstr>SelScenario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 Ruiz de Almirón Da Silva</cp:lastModifiedBy>
  <dcterms:created xsi:type="dcterms:W3CDTF">2025-10-21T18:44:10Z</dcterms:created>
  <dcterms:modified xsi:type="dcterms:W3CDTF">2025-11-18T10:47:24Z</dcterms:modified>
</cp:coreProperties>
</file>